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tiff" ContentType="image/tif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autoCompressPictures="0"/>
  <mc:AlternateContent xmlns:mc="http://schemas.openxmlformats.org/markup-compatibility/2006">
    <mc:Choice Requires="x15">
      <x15ac:absPath xmlns:x15ac="http://schemas.microsoft.com/office/spreadsheetml/2010/11/ac" url="D:\STONEWEG\PRECALIFICACIONES\VIALTERRA\"/>
    </mc:Choice>
  </mc:AlternateContent>
  <bookViews>
    <workbookView xWindow="0" yWindow="0" windowWidth="17970" windowHeight="7110"/>
  </bookViews>
  <sheets>
    <sheet name="Datos precalificación" sheetId="1" r:id="rId1"/>
  </sheets>
  <definedNames>
    <definedName name="_xlnm.Print_Area" localSheetId="0">'Datos precalificación'!$A$1:$K$375</definedName>
    <definedName name="OLE_LINK1" localSheetId="0">'Datos precalificación'!$B$101</definedName>
    <definedName name="txtDate" localSheetId="0">'Datos precalificación'!$I$6</definedName>
  </definedNames>
  <calcPr calcId="152511" concurrentCalc="0"/>
  <extLst>
    <ext xmlns:x15="http://schemas.microsoft.com/office/spreadsheetml/2010/11/main" uri="{140A7094-0E35-4892-8432-C4D2E57EDEB5}">
      <x15:workbookPr chartTrackingRefBase="1"/>
    </ext>
    <ext xmlns:mx="http://schemas.microsoft.com/office/mac/excel/2008/main" uri="{7523E5D3-25F3-A5E0-1632-64F254C22452}">
      <mx:ArchID Flags="2"/>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35" i="1" l="1"/>
  <c r="Y218" i="1"/>
  <c r="Y217" i="1"/>
  <c r="Y216" i="1"/>
  <c r="Y215" i="1"/>
  <c r="Y214" i="1"/>
  <c r="Y213" i="1"/>
  <c r="Y212" i="1"/>
  <c r="Y211" i="1"/>
  <c r="Y210" i="1"/>
  <c r="Y209" i="1"/>
  <c r="Y208" i="1"/>
  <c r="Y207" i="1"/>
  <c r="Y206" i="1"/>
  <c r="Y205" i="1"/>
  <c r="Y204" i="1"/>
  <c r="Y237" i="1"/>
  <c r="Y236" i="1"/>
  <c r="Y235" i="1"/>
  <c r="Y234" i="1"/>
  <c r="Y233" i="1"/>
  <c r="Y232" i="1"/>
  <c r="Y231" i="1"/>
  <c r="Y230" i="1"/>
  <c r="Y229" i="1"/>
  <c r="Y228" i="1"/>
  <c r="Y227" i="1"/>
  <c r="Y226" i="1"/>
  <c r="Y225" i="1"/>
  <c r="Y224" i="1"/>
  <c r="Y223" i="1"/>
  <c r="Y222" i="1"/>
  <c r="Y221" i="1"/>
  <c r="Y220" i="1"/>
  <c r="Y219"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39" i="1"/>
  <c r="Y38" i="1"/>
  <c r="Y37" i="1"/>
  <c r="Y36" i="1"/>
  <c r="Y35" i="1"/>
  <c r="Y34" i="1"/>
  <c r="Y33" i="1"/>
  <c r="Y32" i="1"/>
  <c r="Y31" i="1"/>
  <c r="Y30" i="1"/>
  <c r="Y29" i="1"/>
  <c r="Y28" i="1"/>
  <c r="Y27" i="1"/>
  <c r="Y26" i="1"/>
  <c r="Y25" i="1"/>
  <c r="Y24" i="1"/>
  <c r="Y23" i="1"/>
  <c r="Y22" i="1"/>
  <c r="Y21" i="1"/>
  <c r="Y13" i="1"/>
  <c r="Y11" i="1"/>
  <c r="Y9" i="1"/>
  <c r="Y8" i="1"/>
  <c r="Y7" i="1"/>
  <c r="Y6" i="1"/>
  <c r="N6" i="1"/>
  <c r="Y5" i="1"/>
  <c r="Y4" i="1"/>
  <c r="Y3" i="1"/>
</calcChain>
</file>

<file path=xl/comments1.xml><?xml version="1.0" encoding="utf-8"?>
<comments xmlns="http://schemas.openxmlformats.org/spreadsheetml/2006/main">
  <authors>
    <author>Prieto, Pedro Jose</author>
  </authors>
  <commentList>
    <comment ref="I121" authorId="0" shapeId="0">
      <text>
        <r>
          <rPr>
            <b/>
            <sz val="8"/>
            <color indexed="81"/>
            <rFont val="Tahoma"/>
            <family val="2"/>
          </rPr>
          <t>EN CASO AFIRMATIVO, INDICAR CUAL / CUALES (ISO 14001 U OTRO)</t>
        </r>
        <r>
          <rPr>
            <sz val="8"/>
            <color indexed="81"/>
            <rFont val="Tahoma"/>
            <family val="2"/>
          </rPr>
          <t xml:space="preserve">
</t>
        </r>
      </text>
    </comment>
    <comment ref="I139" authorId="0" shapeId="0">
      <text>
        <r>
          <rPr>
            <b/>
            <sz val="8"/>
            <color indexed="81"/>
            <rFont val="Tahoma"/>
            <family val="2"/>
          </rPr>
          <t>INDICAR SI LA EMPRESA POSEE LA OSHAS 18001 O UNA CERTIFICACIÓN SIMILAR</t>
        </r>
        <r>
          <rPr>
            <sz val="8"/>
            <color indexed="81"/>
            <rFont val="Tahoma"/>
            <family val="2"/>
          </rPr>
          <t xml:space="preserve">
</t>
        </r>
      </text>
    </comment>
    <comment ref="I141" authorId="0" shapeId="0">
      <text>
        <r>
          <rPr>
            <b/>
            <sz val="8"/>
            <color indexed="81"/>
            <rFont val="Tahoma"/>
            <family val="2"/>
          </rPr>
          <t xml:space="preserve">INDICAR EL ORGANISMO ACREDITADO QUE  CERTIFICA
</t>
        </r>
        <r>
          <rPr>
            <sz val="8"/>
            <color indexed="81"/>
            <rFont val="Tahoma"/>
            <family val="2"/>
          </rPr>
          <t xml:space="preserve">
</t>
        </r>
      </text>
    </comment>
    <comment ref="I152" authorId="0" shapeId="0">
      <text>
        <r>
          <rPr>
            <b/>
            <sz val="8"/>
            <color indexed="81"/>
            <rFont val="Tahoma"/>
            <family val="2"/>
          </rPr>
          <t xml:space="preserve"> INDICAR ENTIDAD ACREDITADA QUE IMPARTE LOS CURSOS DE FORMACIÓN EN SEGURIDAD Y SALUD</t>
        </r>
        <r>
          <rPr>
            <sz val="8"/>
            <color indexed="81"/>
            <rFont val="Tahoma"/>
            <family val="2"/>
          </rPr>
          <t xml:space="preserve">
</t>
        </r>
      </text>
    </comment>
    <comment ref="I187"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06"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21"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36"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53"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73"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90"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06"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23"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44"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61"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List>
</comments>
</file>

<file path=xl/sharedStrings.xml><?xml version="1.0" encoding="utf-8"?>
<sst xmlns="http://schemas.openxmlformats.org/spreadsheetml/2006/main" count="861" uniqueCount="588">
  <si>
    <r>
      <rPr>
        <b/>
        <sz val="18"/>
        <color indexed="8"/>
        <rFont val="Arial Narrow"/>
        <family val="2"/>
      </rPr>
      <t xml:space="preserve">PRECALIFICACIÓN CONTRATISTAS </t>
    </r>
    <r>
      <rPr>
        <b/>
        <sz val="10"/>
        <color indexed="8"/>
        <rFont val="Arial Narrow"/>
        <family val="2"/>
      </rPr>
      <t xml:space="preserve">
</t>
    </r>
  </si>
  <si>
    <t>tipo empresa</t>
  </si>
  <si>
    <t>especialidad</t>
  </si>
  <si>
    <t>CONSULTOR</t>
  </si>
  <si>
    <t>ESTUDIOS E INGENIERÍAS ELABORACIÓN PROYECTOS</t>
  </si>
  <si>
    <t>ESTUDIO DE ARQUITECTURA</t>
  </si>
  <si>
    <t>INFORMACIÓN GENERAL</t>
  </si>
  <si>
    <t>A</t>
  </si>
  <si>
    <t>SUMINISTRADOR</t>
  </si>
  <si>
    <t>OTROS CONSULTORES Y ASESORES</t>
  </si>
  <si>
    <t>INGENIERÍA INSTALACIONES ELECTROMECÁNICAS</t>
  </si>
  <si>
    <t>CONTRATISTA</t>
  </si>
  <si>
    <t>SUMINISTRO MATERIALES PARA OBRA CIVIL</t>
  </si>
  <si>
    <t>INGENIERÍA ESTRUCTURAL</t>
  </si>
  <si>
    <t>Nombre de la Empresa:</t>
  </si>
  <si>
    <t>SUMINISTRO MATERIALES PARA ACABADOS</t>
  </si>
  <si>
    <t>INGENIERÍA INTEGRAL PROYECTOS INDUSTRIALES / GRANDES PROYECTOS</t>
  </si>
  <si>
    <t>SUMINISTRO AISLAMIENTOS Y TRATAMIENTOS ESPECÍFICOS</t>
  </si>
  <si>
    <t>PAISAJISMO</t>
  </si>
  <si>
    <t>CIF:</t>
  </si>
  <si>
    <t>     </t>
  </si>
  <si>
    <t>SUMINISTRO MATERIALES PARA INSTALACIONES ELECTROMECÁNICAS</t>
  </si>
  <si>
    <t>INTERIORISMO</t>
  </si>
  <si>
    <t>COORDINACIÓN DE SEGURIDAD Y SALUD</t>
  </si>
  <si>
    <t>CONTRATISTA GENERAL OBRA CIVIL</t>
  </si>
  <si>
    <t>URBANISMO- PLANIFICACIÓN URBANÍSTICA</t>
  </si>
  <si>
    <r>
      <rPr>
        <b/>
        <sz val="12"/>
        <color theme="5"/>
        <rFont val="Arial Narrow"/>
        <family val="2"/>
      </rPr>
      <t xml:space="preserve">Dirección/     </t>
    </r>
    <r>
      <rPr>
        <sz val="10"/>
        <rFont val="Arial Narrow"/>
        <family val="2"/>
      </rPr>
      <t xml:space="preserve"> calle o plaza</t>
    </r>
  </si>
  <si>
    <t>Teléfono:</t>
  </si>
  <si>
    <t>CONTRATISTA_ESPECIALISTA_ACONDICIONAMIENTO_INTEGRAL___FIT_OUT</t>
  </si>
  <si>
    <t>CONTRATISTA ESPECIALISTA ACONDICIONAMIENTO INTEGRAL - "FIT OUT"</t>
  </si>
  <si>
    <t>PROYECTOS SEGURIDAD Y SALUD</t>
  </si>
  <si>
    <r>
      <rPr>
        <b/>
        <sz val="11"/>
        <color theme="5"/>
        <rFont val="Arial Narrow"/>
        <family val="2"/>
      </rPr>
      <t>Razón social:</t>
    </r>
    <r>
      <rPr>
        <sz val="10"/>
        <color theme="5"/>
        <rFont val="Arial Narrow"/>
        <family val="2"/>
      </rPr>
      <t xml:space="preserve">     </t>
    </r>
    <r>
      <rPr>
        <sz val="10"/>
        <rFont val="Arial Narrow"/>
        <family val="2"/>
      </rPr>
      <t>Población</t>
    </r>
  </si>
  <si>
    <t>Fax:</t>
  </si>
  <si>
    <t>CONTRATISTA GENERAL INSTALACIONES ELECTROMECÁNICAS</t>
  </si>
  <si>
    <t>PROYECTOS ACTIVIDAD</t>
  </si>
  <si>
    <t>Provincia</t>
  </si>
  <si>
    <t>C.P.</t>
  </si>
  <si>
    <t>CONTRATISTA_MEDIOS_AUXILIARES___PRELIMINARES</t>
  </si>
  <si>
    <t>CONTRATISTA MEDIOS AUXILIARES / PRELIMINARES</t>
  </si>
  <si>
    <t>ARQUITECTURA CORPORATIVA - LOCALES COMERCIALES, AGENCIAS BANCARIAS, FIT OUT OFICINAS,ETC.</t>
  </si>
  <si>
    <t>CONTRATISTA SEGURIDAD Y SALUD</t>
  </si>
  <si>
    <t>PLANIFICACIÓN Y ORDENACIÓN TERRITORIO / PLANEAMIENTO URBANÍSTICO</t>
  </si>
  <si>
    <t>Persona de contacto - Técnico o Comercial:</t>
  </si>
  <si>
    <t>CONTRATISTA_ESPECIALIDADES_OBRA_CIVIL___SUBESTRUCTURA_Y_ESTRUCTURA</t>
  </si>
  <si>
    <t>CONTRATISTA ESPECIALIDADES OBRA CIVIL - SUBESTRUCTURA Y ESTRUCTURA</t>
  </si>
  <si>
    <t>ESTUDIOS DE ARQUEOLOGÍA / PATRIMONIO HISTÓRICO</t>
  </si>
  <si>
    <t>Email:</t>
  </si>
  <si>
    <t>Móvil:</t>
  </si>
  <si>
    <t>CONTRATISTA_ESPECIALIDADES_OBRA_CIVIL___SOLUCIONES_PREFABRICADAS</t>
  </si>
  <si>
    <t>CONTRATISTA ESPECIALIDADES OBRA CIVIL - SOLUCIONES PREFABRICADAS</t>
  </si>
  <si>
    <t>ESPECIALISTAS EN RESTAURACIÓN</t>
  </si>
  <si>
    <t>CONTRATISTA_ESPECIALIDADES_OBRA_CIVIL___ALBAÑILERÍA</t>
  </si>
  <si>
    <t>CONTRATISTA ESPECIALIDADES OBRA CIVIL - ALBAÑILERÍA</t>
  </si>
  <si>
    <t>Persona de contacto - Dpto. Financiero:</t>
  </si>
  <si>
    <t>CONTRATISTA_ESPECIALIDADES_OBRA_CIVIL___FACHADA</t>
  </si>
  <si>
    <t>CONTRATISTA ESPECIALIDADES OBRA CIVIL - FACHADA</t>
  </si>
  <si>
    <t>DIRECCIÓN FACULTATIVA ARQUITECTO - DIRECCIÓN OBRA</t>
  </si>
  <si>
    <t>CONTRATISTA_ESPECIALIDADES_OBRA_CIVIL___CUBIERTAS</t>
  </si>
  <si>
    <t>CONTRATISTA ESPECIALIDADES OBRA CIVIL - CUBIERTAS</t>
  </si>
  <si>
    <t>DIRECCIÓN FACULTATIVA ARQUITECTO TÉCNICO -DIRECCIÓN EJECUCIÓN</t>
  </si>
  <si>
    <t>CONTRATISTA_ESPECIALIDADES_OBRA_CIVIL___URBANIZACIÓN_Y_PAISAJISMO</t>
  </si>
  <si>
    <t>CONTRATISTA ESPECIALIDADES OBRA CIVIL - URBANIZACIÓN Y PAISAJISMO</t>
  </si>
  <si>
    <t>ESTUDIOS IMPACTO AMBIENTAL</t>
  </si>
  <si>
    <t>Persona de contacto - Calidad y M.ambiente:</t>
  </si>
  <si>
    <t>CONTRATISTA_AISLAMIENTOS_Y_TRATAMIENTOS_ESPECÍFICOS</t>
  </si>
  <si>
    <t>CONTRATISTA AISLAMIENTOS Y TRATAMIENTOS ESPECÍFICOS</t>
  </si>
  <si>
    <t>ESTUDIOS DE TRÁFICO</t>
  </si>
  <si>
    <t>CONTRATISTA ESPECIALIDADES ACABADOS</t>
  </si>
  <si>
    <t xml:space="preserve">CONSULTORÍA Y ESTUDIOS ACÚSTICOS </t>
  </si>
  <si>
    <t>CONTRATISTAS INSTALACIONES ELÉCTRICAS</t>
  </si>
  <si>
    <t>CONSULTORÍA TELECOMUNICACIONES</t>
  </si>
  <si>
    <t>Persona de contacto - Seguridad y Salud:</t>
  </si>
  <si>
    <t>CONTRATISTAS INSTALACIONES MECÁNICAS</t>
  </si>
  <si>
    <t>TOPOGRAFÍA</t>
  </si>
  <si>
    <t>CONTRATISTAS INSTALACIONES ESPECIALES</t>
  </si>
  <si>
    <t>ESTUDIOS GEOTÉCNICOS</t>
  </si>
  <si>
    <t>CONTRATISTAS MEDIOS DE ELEVACIÓN</t>
  </si>
  <si>
    <t>EMPRESAS DE MEDICIONES</t>
  </si>
  <si>
    <r>
      <rPr>
        <b/>
        <sz val="12"/>
        <color theme="5"/>
        <rFont val="Arial Narrow"/>
        <family val="2"/>
      </rPr>
      <t xml:space="preserve">Empresa matriz: </t>
    </r>
    <r>
      <rPr>
        <sz val="10"/>
        <rFont val="Arial Narrow"/>
        <family val="2"/>
      </rPr>
      <t>Nombre</t>
    </r>
  </si>
  <si>
    <t>CONTRATISTAS DE REHABILITACIÓN</t>
  </si>
  <si>
    <t>ESPECIALISTAS EN FACHADAS</t>
  </si>
  <si>
    <t>Dirección</t>
  </si>
  <si>
    <t>Población</t>
  </si>
  <si>
    <t>CONTRATISTAS DE EQUIPAMIENTO</t>
  </si>
  <si>
    <t>ASESORÍA URBANÍSTICA-PLANIFICACIÓN Y LICENCIAS</t>
  </si>
  <si>
    <t>EMPRESAS DE PRUEBAS Y PUESTA EN MARCHA (COMMISSIONING)</t>
  </si>
  <si>
    <t>Lista de empresas del grupo (si pertenece a un grupo de empresas)</t>
  </si>
  <si>
    <t>CONSULTORÍAS LEED</t>
  </si>
  <si>
    <r>
      <t>1.</t>
    </r>
    <r>
      <rPr>
        <sz val="7"/>
        <color indexed="8"/>
        <rFont val="Times New Roman"/>
        <family val="1"/>
      </rPr>
      <t xml:space="preserve">     </t>
    </r>
    <r>
      <rPr>
        <sz val="10"/>
        <color indexed="8"/>
        <rFont val="Arial"/>
        <family val="2"/>
      </rPr>
      <t>     </t>
    </r>
  </si>
  <si>
    <r>
      <t>4.</t>
    </r>
    <r>
      <rPr>
        <sz val="7"/>
        <color indexed="8"/>
        <rFont val="Times New Roman"/>
        <family val="1"/>
      </rPr>
      <t xml:space="preserve">   </t>
    </r>
    <r>
      <rPr>
        <sz val="10"/>
        <color indexed="8"/>
        <rFont val="Arial"/>
        <family val="2"/>
      </rPr>
      <t>     </t>
    </r>
  </si>
  <si>
    <t>CONTROL DE CALIDAD</t>
  </si>
  <si>
    <r>
      <t>2.</t>
    </r>
    <r>
      <rPr>
        <sz val="7"/>
        <color indexed="8"/>
        <rFont val="Times New Roman"/>
        <family val="1"/>
      </rPr>
      <t xml:space="preserve">     </t>
    </r>
    <r>
      <rPr>
        <sz val="10"/>
        <color indexed="8"/>
        <rFont val="Arial"/>
        <family val="2"/>
      </rPr>
      <t>     </t>
    </r>
  </si>
  <si>
    <r>
      <t>5.</t>
    </r>
    <r>
      <rPr>
        <sz val="7"/>
        <color indexed="8"/>
        <rFont val="Times New Roman"/>
        <family val="1"/>
      </rPr>
      <t xml:space="preserve">   </t>
    </r>
    <r>
      <rPr>
        <sz val="10"/>
        <color indexed="8"/>
        <rFont val="Arial"/>
        <family val="2"/>
      </rPr>
      <t>     </t>
    </r>
  </si>
  <si>
    <t>LABORATORIOS DE CONTROL DE CALIDAD</t>
  </si>
  <si>
    <r>
      <t>3.</t>
    </r>
    <r>
      <rPr>
        <sz val="7"/>
        <color indexed="8"/>
        <rFont val="Times New Roman"/>
        <family val="1"/>
      </rPr>
      <t xml:space="preserve">     </t>
    </r>
    <r>
      <rPr>
        <sz val="10"/>
        <color indexed="8"/>
        <rFont val="Arial"/>
        <family val="2"/>
      </rPr>
      <t>     </t>
    </r>
  </si>
  <si>
    <r>
      <t>6.</t>
    </r>
    <r>
      <rPr>
        <sz val="7"/>
        <color indexed="8"/>
        <rFont val="Times New Roman"/>
        <family val="1"/>
      </rPr>
      <t xml:space="preserve">   </t>
    </r>
    <r>
      <rPr>
        <sz val="10"/>
        <color indexed="8"/>
        <rFont val="Arial"/>
        <family val="2"/>
      </rPr>
      <t>     </t>
    </r>
  </si>
  <si>
    <t>PLANES DE EMERGENCIA</t>
  </si>
  <si>
    <t>CONSULTORÍA LEGAL</t>
  </si>
  <si>
    <t>Lista de nombres anteriores de la empresa si ha cambiado en los últimos 5 años:</t>
  </si>
  <si>
    <t>CONSULTORÍA FINANCIERA</t>
  </si>
  <si>
    <r>
      <t>3.</t>
    </r>
    <r>
      <rPr>
        <sz val="7"/>
        <color indexed="8"/>
        <rFont val="Times New Roman"/>
        <family val="1"/>
      </rPr>
      <t xml:space="preserve">   </t>
    </r>
    <r>
      <rPr>
        <sz val="10"/>
        <color indexed="8"/>
        <rFont val="Arial"/>
        <family val="2"/>
      </rPr>
      <t>     </t>
    </r>
  </si>
  <si>
    <t>CONSULTORÍA INMOBILIARIA - REAL STATE</t>
  </si>
  <si>
    <t>PROYECTOS ACCESIBILIDAD</t>
  </si>
  <si>
    <t>SUMINISTRO MATERIALES Y ELEMENTOS ESTRUCTURALES</t>
  </si>
  <si>
    <t>Especialidad/es principal/es de la empresa (seleccionar tipo, categoría y especialidad por ese orden en las listas desplegables):</t>
  </si>
  <si>
    <t>SUMINISTRO MORTEROS, ADITIVOS, ADHESIVOS</t>
  </si>
  <si>
    <t>SUMINISTRO ELEMENTOS PREFABRICADOS DE HORMIGÓN</t>
  </si>
  <si>
    <t>CONSULTOR/SUMINISTRADOR/
CONTRATISTA</t>
  </si>
  <si>
    <t>CATEGORÍA</t>
  </si>
  <si>
    <t>ESPECIALIDAD</t>
  </si>
  <si>
    <t>SUMINISTRO ELEMENTOS PREFABRICADOS DE GRC</t>
  </si>
  <si>
    <t>SUMINISTRO OTROS PREFABRICADOS</t>
  </si>
  <si>
    <t>SUMINISTRO PIEDRA NATURAL (MÁRMOLES, GRANITOS, CALIZAS, PIZARRAS)</t>
  </si>
  <si>
    <t>SUMINISTRO MATERIALES CERÁMICOS (BALDOSAS, ALICATADOS, REVESTIMIENTOS CERÁMICOS)</t>
  </si>
  <si>
    <t>Indicar otras especialidades (si la especialidad de la empresa no aparece en las listas desplegables):</t>
  </si>
  <si>
    <t>SUMINISTRO FALSOS TECHOS METÁLICOS</t>
  </si>
  <si>
    <t>SUMINISTRO FALSOS TECHOS FIBRAS MINERALES</t>
  </si>
  <si>
    <t>SUMINISTRO FALSOS TECHOS MADERAS</t>
  </si>
  <si>
    <t>SUMINISTRO MAMPARAS</t>
  </si>
  <si>
    <t>TRABAJADORES:</t>
  </si>
  <si>
    <t>MATERIALES AISLAMIENTO TÉRMICO</t>
  </si>
  <si>
    <t>Nº trabajadores a tiempo completo:</t>
  </si>
  <si>
    <t>Nº trabajadores a tiempo parcial:</t>
  </si>
  <si>
    <t>MATERIALES AISLAMIENTO ACÚSTICO</t>
  </si>
  <si>
    <t>LÁMINAS Y MATERIALES IMPERMEABILIZACIÓN</t>
  </si>
  <si>
    <t>Categoría y número de empleados:</t>
  </si>
  <si>
    <t>SUMINISTRO EQUIPOS Y ELEMENTOS PARA INSTALACIONES ELÉCTRICAS</t>
  </si>
  <si>
    <r>
      <t>1</t>
    </r>
    <r>
      <rPr>
        <sz val="10"/>
        <color indexed="8"/>
        <rFont val="Arial Narrow"/>
        <family val="2"/>
      </rPr>
      <t>. Nº:</t>
    </r>
  </si>
  <si>
    <t>Categoría:</t>
  </si>
  <si>
    <r>
      <t>5</t>
    </r>
    <r>
      <rPr>
        <sz val="10"/>
        <color indexed="8"/>
        <rFont val="Arial Narrow"/>
        <family val="2"/>
      </rPr>
      <t>. Nº:</t>
    </r>
  </si>
  <si>
    <t>SUMINISTRO EQUIPOS Y ELEMENTOS PARA INSTALACIONES ELÉCTRICAS - LUMINARIAS E ILUMINACIÓN</t>
  </si>
  <si>
    <r>
      <t>2</t>
    </r>
    <r>
      <rPr>
        <sz val="10"/>
        <color indexed="8"/>
        <rFont val="Arial Narrow"/>
        <family val="2"/>
      </rPr>
      <t>. Nº:</t>
    </r>
  </si>
  <si>
    <r>
      <t>6</t>
    </r>
    <r>
      <rPr>
        <sz val="10"/>
        <color indexed="8"/>
        <rFont val="Arial Narrow"/>
        <family val="2"/>
      </rPr>
      <t>. Nº:</t>
    </r>
  </si>
  <si>
    <t>SUMINISTRO EQUIPOS Y ELEMENTOS PARA INSTALACIONES DE FONTANERÍA Y SANEAMIENTO</t>
  </si>
  <si>
    <r>
      <t>3</t>
    </r>
    <r>
      <rPr>
        <sz val="10"/>
        <color indexed="8"/>
        <rFont val="Arial Narrow"/>
        <family val="2"/>
      </rPr>
      <t>. Nº:</t>
    </r>
  </si>
  <si>
    <r>
      <t>7</t>
    </r>
    <r>
      <rPr>
        <sz val="10"/>
        <color indexed="8"/>
        <rFont val="Arial Narrow"/>
        <family val="2"/>
      </rPr>
      <t>. Nº:</t>
    </r>
  </si>
  <si>
    <t>SUMINISTRO EQUIPOS Y ELEMENTOS PARA INSTALACIONES DE CLIMATIZACIÓN, VENTILACIÓN Y EXTRACCIÓN</t>
  </si>
  <si>
    <r>
      <t>4</t>
    </r>
    <r>
      <rPr>
        <sz val="10"/>
        <color indexed="8"/>
        <rFont val="Arial Narrow"/>
        <family val="2"/>
      </rPr>
      <t>. Nº:</t>
    </r>
  </si>
  <si>
    <r>
      <t>8</t>
    </r>
    <r>
      <rPr>
        <sz val="10"/>
        <color indexed="8"/>
        <rFont val="Arial Narrow"/>
        <family val="2"/>
      </rPr>
      <t>. Nº:</t>
    </r>
  </si>
  <si>
    <t>SUMINISTRO EQUIPOS Y ELEMENTOS PARA PROTECCIÓN CONTRA INCENDIOS</t>
  </si>
  <si>
    <t>SUMINISTRO EQUIPOS Y ELEMENTOS PARA INSTALACIONES ESPECIALES</t>
  </si>
  <si>
    <t>Empresas colaboradoras y/o subcontratistas que trabajan habitualmente con la empresa:</t>
  </si>
  <si>
    <t>CONTRATISTA GENERAL OBRA CIVIL GRANDE</t>
  </si>
  <si>
    <t>CONTRATISTA GENERAL OBRA CIVIL MEDIANO</t>
  </si>
  <si>
    <r>
      <t>7.</t>
    </r>
    <r>
      <rPr>
        <sz val="7"/>
        <color indexed="8"/>
        <rFont val="Times New Roman"/>
        <family val="1"/>
      </rPr>
      <t xml:space="preserve">   </t>
    </r>
    <r>
      <rPr>
        <sz val="10"/>
        <color indexed="8"/>
        <rFont val="Arial"/>
        <family val="2"/>
      </rPr>
      <t>     </t>
    </r>
  </si>
  <si>
    <t>CONTRATISTA GENERAL OBRA CIVIL PEQUEÑO</t>
  </si>
  <si>
    <r>
      <t>8.</t>
    </r>
    <r>
      <rPr>
        <sz val="7"/>
        <color indexed="8"/>
        <rFont val="Times New Roman"/>
        <family val="1"/>
      </rPr>
      <t xml:space="preserve">   </t>
    </r>
    <r>
      <rPr>
        <sz val="10"/>
        <color indexed="8"/>
        <rFont val="Arial"/>
        <family val="2"/>
      </rPr>
      <t>     </t>
    </r>
  </si>
  <si>
    <t>CONTRATISTA ESPECIALISTA ACONDICIONAMIENTO INTEGRAL OFICINAS</t>
  </si>
  <si>
    <r>
      <t>4.</t>
    </r>
    <r>
      <rPr>
        <sz val="7"/>
        <color indexed="8"/>
        <rFont val="Times New Roman"/>
        <family val="1"/>
      </rPr>
      <t xml:space="preserve">     </t>
    </r>
    <r>
      <rPr>
        <sz val="10"/>
        <color indexed="8"/>
        <rFont val="Arial"/>
        <family val="2"/>
      </rPr>
      <t>     </t>
    </r>
  </si>
  <si>
    <r>
      <t>9.</t>
    </r>
    <r>
      <rPr>
        <sz val="7"/>
        <color indexed="8"/>
        <rFont val="Times New Roman"/>
        <family val="1"/>
      </rPr>
      <t xml:space="preserve">   </t>
    </r>
    <r>
      <rPr>
        <sz val="10"/>
        <color indexed="8"/>
        <rFont val="Arial"/>
        <family val="2"/>
      </rPr>
      <t>     </t>
    </r>
  </si>
  <si>
    <t>CONTRATISTA ESPECIALISTA ACONDICIONAMIENTO INTEGRAL OFICINAS BANCARIAS</t>
  </si>
  <si>
    <r>
      <t>5.</t>
    </r>
    <r>
      <rPr>
        <sz val="7"/>
        <color indexed="8"/>
        <rFont val="Times New Roman"/>
        <family val="1"/>
      </rPr>
      <t xml:space="preserve">     </t>
    </r>
    <r>
      <rPr>
        <sz val="10"/>
        <color indexed="8"/>
        <rFont val="Arial"/>
        <family val="2"/>
      </rPr>
      <t>     </t>
    </r>
  </si>
  <si>
    <r>
      <t>10.</t>
    </r>
    <r>
      <rPr>
        <sz val="7"/>
        <color indexed="8"/>
        <rFont val="Times New Roman"/>
        <family val="1"/>
      </rPr>
      <t xml:space="preserve">   </t>
    </r>
    <r>
      <rPr>
        <sz val="10"/>
        <color indexed="8"/>
        <rFont val="Arial"/>
        <family val="2"/>
      </rPr>
      <t>     </t>
    </r>
  </si>
  <si>
    <t>CONTRATISTA ESPECIALISTA ACONDICIONAMIENTO INTEGRAL LOCALES COMERCIALES</t>
  </si>
  <si>
    <t>CONTRATISTA GENERAL INSTALACIONES ELECTROMECÁNICAS MEDIANO</t>
  </si>
  <si>
    <t>SEGUROS:</t>
  </si>
  <si>
    <t>B</t>
  </si>
  <si>
    <t>CONTRATISTA GENERAL INSTALACIONES ELECTROMECÁNICAS PEQUEÑO</t>
  </si>
  <si>
    <t>ALQUILER GRÚAS TORRE</t>
  </si>
  <si>
    <t>Responsabilidad civil</t>
  </si>
  <si>
    <t>Cía. Aseguradora:</t>
  </si>
  <si>
    <t>Cuantía:</t>
  </si>
  <si>
    <t>ALQUILER Y MONTAJE CASETAS PREFABRICADAS</t>
  </si>
  <si>
    <t>Fecha Caducidad:</t>
  </si>
  <si>
    <t>Nº empleados asegurados:</t>
  </si>
  <si>
    <t>ALQUILER CONTENEDORES</t>
  </si>
  <si>
    <t>Otros seguros:</t>
  </si>
  <si>
    <t>INSTALACIONES PROVISIONALES OBRA</t>
  </si>
  <si>
    <t>Seguro Todo Riesgo</t>
  </si>
  <si>
    <t>ALQUILER GRUPOS ELECTRÓGENOS</t>
  </si>
  <si>
    <t>ALQUILER GRÚAS AUTOMÓVILES Y SOBRE CAMIÓN</t>
  </si>
  <si>
    <t>SUMINISTRO / INSTALACIÓN CERRAMIENTOS PROVISIONALES</t>
  </si>
  <si>
    <t>Seguro accidentes de trabajo</t>
  </si>
  <si>
    <t>SUMINISTRO MATERIAL Y EQUIPAMIENTO OFICINA</t>
  </si>
  <si>
    <t>ALQUILER ANDAMIOS Y CIMBRAS</t>
  </si>
  <si>
    <t>ALQUILER PLATAFORMAS TIJERA</t>
  </si>
  <si>
    <t>ALQUILER MONTACARGAS</t>
  </si>
  <si>
    <t>ALQUILER ANDAMIOS CREMALLERA</t>
  </si>
  <si>
    <t>ALQUILER CESTAS BRAZO ARTICULADO</t>
  </si>
  <si>
    <t>Adjuntar como anexos a este fichero de datos de precalificación copia de las pólizas</t>
  </si>
  <si>
    <t>ALQUILER MAQUINARIA</t>
  </si>
  <si>
    <t>EMPRESAS DE SEGURIDAD Y VIGILANCIA</t>
  </si>
  <si>
    <t>FINANCIERO</t>
  </si>
  <si>
    <t>C</t>
  </si>
  <si>
    <t>AMBULANCIAS</t>
  </si>
  <si>
    <t>EMPRESAS MULTISERVICIO - "MULTIGANG"</t>
  </si>
  <si>
    <t>Consignar los importes (en miles de euros) correspondientes a los siguientes conceptos de los tres últimos años:</t>
  </si>
  <si>
    <t>LIMPIEZA DE OBRA</t>
  </si>
  <si>
    <t>Facturación</t>
  </si>
  <si>
    <t>Beneficios antes de impuestos</t>
  </si>
  <si>
    <t>EMPRESAS INSTALACIÓN SISTEMAS SEGURIDAD Y VIGILANCIA OBRA</t>
  </si>
  <si>
    <t>Año:</t>
  </si>
  <si>
    <t>INSTALACIÓN Y MANTENIMIENTO DE MEDIDAS Y ELEMENTOS DE PROTECCIÓN COLECTIVA</t>
  </si>
  <si>
    <t>DEMOLICIONES</t>
  </si>
  <si>
    <t>MOVIMIENTO DE TIERRAS</t>
  </si>
  <si>
    <t>MOVIMIENTO DE TIERRAS - VOLADURAS</t>
  </si>
  <si>
    <t>GUNITADOS</t>
  </si>
  <si>
    <t>Activo Circulante</t>
  </si>
  <si>
    <t>Pasivo Circulante</t>
  </si>
  <si>
    <t>Cash flow 
al final del ejercicio</t>
  </si>
  <si>
    <t>Fondos propios</t>
  </si>
  <si>
    <t>Recursos ajenos</t>
  </si>
  <si>
    <t>PROTECCIÓN / ESTABILIZACIÓN DE TALUDES</t>
  </si>
  <si>
    <t>PILOTES / MUROS PANTALLA</t>
  </si>
  <si>
    <t>MICROPILOTES</t>
  </si>
  <si>
    <t>MEJORA Y ESTABILIZACIÓN DE SUELOS / INYECCIONES / JET GROUTING</t>
  </si>
  <si>
    <t>ESTRUCTURAS DE HORMIGÓN</t>
  </si>
  <si>
    <t>Adjuntar como anexos a este fichero de datos de precalificación los siguientes documentos:</t>
  </si>
  <si>
    <t>ESTRUCTURAS METÁLICAS PERFILES LAMINADOS</t>
  </si>
  <si>
    <t>ESTRUCTURAS METÁLICAS ESPACIALES</t>
  </si>
  <si>
    <t>ESTRUCTURAS DE MADERA LAMINADA</t>
  </si>
  <si>
    <t>ESTRUCTURAS PREFABRICADAS DE HORMIGÓN</t>
  </si>
  <si>
    <t>FORJADOS COLABORANTES</t>
  </si>
  <si>
    <t>SOLUCIONES INTEGRALES PREFABRICADAS - ASEOS PREFABRICADOS, COCINAS PREF.</t>
  </si>
  <si>
    <t>CALIDAD</t>
  </si>
  <si>
    <t>D</t>
  </si>
  <si>
    <t>SOLUCIONES INTEGRALES PREFABRICADAS - EDIFICACIÓN MODULAR</t>
  </si>
  <si>
    <t>SOLUCIONES INTEGRALES PREFABRICADAS - QUIRÓFANOS</t>
  </si>
  <si>
    <t>Sí</t>
  </si>
  <si>
    <t>No</t>
  </si>
  <si>
    <t>Observaciones / comentarios</t>
  </si>
  <si>
    <t>LADRILLO VISTO</t>
  </si>
  <si>
    <t>¿Tiene la empresa un sistema o plan de gestión?</t>
  </si>
  <si>
    <t>ALBAÑILERÍA EN GENERAL</t>
  </si>
  <si>
    <t>YESOS / ENFOSCADOS</t>
  </si>
  <si>
    <t>¿Posee procedimientos de control de documentación?</t>
  </si>
  <si>
    <t>REVOCOS / MONOCAPAS</t>
  </si>
  <si>
    <t>¿Posee Política de Calidad?</t>
  </si>
  <si>
    <t>MÓDULOS PREFABRICADOS DE HORMIGÓN</t>
  </si>
  <si>
    <t>¿Realiza Auditorías Internas de calidad?</t>
  </si>
  <si>
    <t>FACHADAS APLACADO PIEDRA NATURAL</t>
  </si>
  <si>
    <t>¿Tiene acreditado un Sistema de Gestión de Calidad?</t>
  </si>
  <si>
    <t>ISO 9.001</t>
  </si>
  <si>
    <t>FACHADAS VENTILADAS PANELES COMPOSITE</t>
  </si>
  <si>
    <t>FACHADAS VENTILADAS CERÁMICAS - HORMIGÓN POLÍMERO</t>
  </si>
  <si>
    <t>Adjuntar como anexo a este fichero de datos de precalificación copia del certificado de la acreditación del sistema de gestión de calidad (si se tiene)</t>
  </si>
  <si>
    <t>FACHADAS METÁLICAS (CHAPA, PANEL SANDWICH)</t>
  </si>
  <si>
    <t>FACHADAS VENTILADAS PANELES TIPO FENÓLICO, TRESPA, PRODEMA</t>
  </si>
  <si>
    <t>SOSTENIBILIDAD</t>
  </si>
  <si>
    <t>E</t>
  </si>
  <si>
    <t>MURO CORTINA</t>
  </si>
  <si>
    <t>CARPINTERÍA EXTERIOR METÁLICA (ALUMINIO, ACERO INOX)</t>
  </si>
  <si>
    <t>CARPINTERÍA EXTERIOR DE MADERA</t>
  </si>
  <si>
    <t>¿Tiene la empresa un plan de sostenibilidad?</t>
  </si>
  <si>
    <t>CARPINTERÍA EXTERIOR DE PVC</t>
  </si>
  <si>
    <t>REVESTIMIENTOS MONOCAPA / REVOCOS / ENFOSCADOS / PÉTREOS</t>
  </si>
  <si>
    <t>¿Tiene acreditado un Sistema de Gestión Medioambiental?</t>
  </si>
  <si>
    <t>REVESTIMIENTO PANELES TIPO FENÓLICO, TRESPA, PRODEMA</t>
  </si>
  <si>
    <t xml:space="preserve">ARQUITECTURA TEXTIL </t>
  </si>
  <si>
    <t>¿Ha desarrollado la empresa alguna iniciativa sostenible en el pasado? Si es afirmativo, liste a continuación cuáles han sido:</t>
  </si>
  <si>
    <t>DOBLE PIEL / SISTEMAS OSCURECIMIENTO / SOMBREAMIENTO</t>
  </si>
  <si>
    <t>GÓNDOLAS - SISTEMAS LIMPIEZA FACHADAS</t>
  </si>
  <si>
    <r>
      <t>1.</t>
    </r>
    <r>
      <rPr>
        <sz val="7"/>
        <color indexed="8"/>
        <rFont val="Times New Roman"/>
        <family val="1"/>
      </rPr>
      <t xml:space="preserve">    </t>
    </r>
    <r>
      <rPr>
        <sz val="11"/>
        <color indexed="8"/>
        <rFont val="Arial Narrow"/>
        <family val="2"/>
      </rPr>
      <t> </t>
    </r>
  </si>
  <si>
    <t>OTRAS FACHADAS</t>
  </si>
  <si>
    <r>
      <t>2.</t>
    </r>
    <r>
      <rPr>
        <sz val="7"/>
        <color indexed="8"/>
        <rFont val="Times New Roman"/>
        <family val="1"/>
      </rPr>
      <t xml:space="preserve">    </t>
    </r>
    <r>
      <rPr>
        <sz val="11"/>
        <color indexed="8"/>
        <rFont val="Arial Narrow"/>
        <family val="2"/>
      </rPr>
      <t> </t>
    </r>
  </si>
  <si>
    <t>CUBIERTAS DECK</t>
  </si>
  <si>
    <r>
      <t>3.</t>
    </r>
    <r>
      <rPr>
        <sz val="7"/>
        <color indexed="8"/>
        <rFont val="Times New Roman"/>
        <family val="1"/>
      </rPr>
      <t xml:space="preserve">    </t>
    </r>
    <r>
      <rPr>
        <sz val="11"/>
        <color indexed="8"/>
        <rFont val="Arial Narrow"/>
        <family val="2"/>
      </rPr>
      <t> </t>
    </r>
  </si>
  <si>
    <t>CUBIERTAS METÁLICAS (ZINC, COBRE)</t>
  </si>
  <si>
    <t>LUCERNARIOS</t>
  </si>
  <si>
    <t>Adjuntar como anexo a este fichero de datos de precalificación copia del certificado de la acreditación del sistema de gestión medioambiental (si se tiene)</t>
  </si>
  <si>
    <t>CUBIERTAS PANEL SANDWICH</t>
  </si>
  <si>
    <t>IMPERMEABILIZACIÓN LÁMINAS ASFÁLTICAS</t>
  </si>
  <si>
    <t>IMPERMEABILIZACIÓN POLIURETANO</t>
  </si>
  <si>
    <t>SEGURIDAD Y SALUD</t>
  </si>
  <si>
    <t>F</t>
  </si>
  <si>
    <t>IMPERMEABILIZACIÓN LÁMINAS PVC</t>
  </si>
  <si>
    <t>CUBIERTAS AJARDINADAS</t>
  </si>
  <si>
    <t>¿TIENE SU EMPRESA…</t>
  </si>
  <si>
    <t>CUBIERTAS TIPO EFTE</t>
  </si>
  <si>
    <t>...Una política de Seguridad, Salud y Medioambiente firmada por la dirección?.</t>
  </si>
  <si>
    <t>CUBIERTAS MATERIALES LIGEROS TIPO METACRILATO</t>
  </si>
  <si>
    <t>CUBIERTAS TEJAS CERÁMICAS</t>
  </si>
  <si>
    <t xml:space="preserve">...Estándares de S&amp;S  y Medioambiente  que se alinean con los requerimientos de los GMRs de BLL? </t>
  </si>
  <si>
    <t>CUBIERTA PIZARRA</t>
  </si>
  <si>
    <t>IMPERMEABILIZACIONES EN GENERAL</t>
  </si>
  <si>
    <t>…Un sistema de gestión de la Seguridad y Salud certificado?</t>
  </si>
  <si>
    <t>OTRAS CUBIERTAS</t>
  </si>
  <si>
    <t>URBANIZACIÓN EN GENERAL</t>
  </si>
  <si>
    <t>…Un certificado de formación de los trabajadores emitido por organismo acreditado?</t>
  </si>
  <si>
    <t>PAVIMENTOS ASFÁLTICOS</t>
  </si>
  <si>
    <t>JARDINERÍA</t>
  </si>
  <si>
    <t>...sistemas eficaces para…</t>
  </si>
  <si>
    <t>FUENTES DECORATIVAS</t>
  </si>
  <si>
    <r>
      <rPr>
        <b/>
        <sz val="11"/>
        <color theme="5"/>
        <rFont val="Arial Narrow"/>
        <family val="2"/>
      </rPr>
      <t>a.</t>
    </r>
    <r>
      <rPr>
        <sz val="11"/>
        <color theme="1"/>
        <rFont val="Arial Narrow"/>
        <family val="2"/>
      </rPr>
      <t xml:space="preserve"> la gestión de Seguridad, Salud y Medioambiente, adecuados al tamaño y las actividades de la empresa para reducir y prevenir incidentes?
</t>
    </r>
  </si>
  <si>
    <t xml:space="preserve">AISLAMIENTOS TÉRMICOS </t>
  </si>
  <si>
    <t xml:space="preserve">AISLAMIENTOS ACÚSTICOS </t>
  </si>
  <si>
    <r>
      <rPr>
        <b/>
        <sz val="11"/>
        <color theme="5"/>
        <rFont val="Arial Narrow"/>
        <family val="2"/>
      </rPr>
      <t>b.</t>
    </r>
    <r>
      <rPr>
        <sz val="11"/>
        <color theme="1"/>
        <rFont val="Arial Narrow"/>
        <family val="2"/>
      </rPr>
      <t xml:space="preserve"> medir y mejorar el desempeño de la Seguridad, Salud y Medioambiente  mediante auditorías, inspecciones y estadísticas de incidentes? </t>
    </r>
  </si>
  <si>
    <t>TRATAMIENTOS IGNÍFUGOS Y PROTECCIONES CONTRA FUEGO</t>
  </si>
  <si>
    <t>JUNTAS DE DILATACIÓN</t>
  </si>
  <si>
    <r>
      <rPr>
        <b/>
        <sz val="11"/>
        <color theme="5"/>
        <rFont val="Arial Narrow"/>
        <family val="2"/>
      </rPr>
      <t xml:space="preserve">c. </t>
    </r>
    <r>
      <rPr>
        <sz val="11"/>
        <color theme="1"/>
        <rFont val="Arial Narrow"/>
        <family val="2"/>
      </rPr>
      <t>gestionar su impacto medioambiental (incluidos los residuos) que se alineen con los estándares legales y de BLL?</t>
    </r>
  </si>
  <si>
    <t>FALSOS TECHOS METÁLICOS</t>
  </si>
  <si>
    <t>FALSOS TECHOS MODULARES</t>
  </si>
  <si>
    <r>
      <rPr>
        <b/>
        <sz val="11"/>
        <color theme="5"/>
        <rFont val="Arial Narrow"/>
        <family val="2"/>
      </rPr>
      <t>d.</t>
    </r>
    <r>
      <rPr>
        <sz val="11"/>
        <color theme="1"/>
        <rFont val="Arial Narrow"/>
        <family val="2"/>
      </rPr>
      <t xml:space="preserve"> aumentar la eficiencia energética y el uso o suministro de materiales o productos reciclados?</t>
    </r>
  </si>
  <si>
    <t>FALSOS TECHOS CARTÓN-YESO</t>
  </si>
  <si>
    <t>SUELO TÉCNICO</t>
  </si>
  <si>
    <r>
      <rPr>
        <b/>
        <sz val="11"/>
        <color theme="5"/>
        <rFont val="Arial Narrow"/>
        <family val="2"/>
      </rPr>
      <t>e.</t>
    </r>
    <r>
      <rPr>
        <sz val="11"/>
        <color theme="1"/>
        <rFont val="Arial Narrow"/>
        <family val="2"/>
      </rPr>
      <t xml:space="preserve"> proporcionar a sus operarios una formación e información adecuada al tipo de trabajo que van a realizar? </t>
    </r>
  </si>
  <si>
    <t>SOLADOS RESINAS / INDUSTRIALES / EPOXI</t>
  </si>
  <si>
    <t>SOLADOS DE PIEDRA NATURAL</t>
  </si>
  <si>
    <r>
      <rPr>
        <b/>
        <sz val="11"/>
        <color theme="5"/>
        <rFont val="Arial Narrow"/>
        <family val="2"/>
      </rPr>
      <t xml:space="preserve">f. </t>
    </r>
    <r>
      <rPr>
        <sz val="11"/>
        <color theme="1"/>
        <rFont val="Arial Narrow"/>
        <family val="2"/>
      </rPr>
      <t>la participación de los trabajadores en la planificación y aplicación de las medidas especificas de Seguridad, Salud y Medioamb.  (p.ej. en los Métodos de Trabajo)?</t>
    </r>
  </si>
  <si>
    <t>SOLADOS DE TERRAZO IN SITU - CONTINUO</t>
  </si>
  <si>
    <t>SOLADOS DE TERRAZO EN BALDOSAS</t>
  </si>
  <si>
    <r>
      <rPr>
        <b/>
        <sz val="11"/>
        <color theme="5"/>
        <rFont val="Arial Narrow"/>
        <family val="2"/>
      </rPr>
      <t>g.</t>
    </r>
    <r>
      <rPr>
        <sz val="11"/>
        <color theme="1"/>
        <rFont val="Arial Narrow"/>
        <family val="2"/>
      </rPr>
      <t xml:space="preserve"> notificar, investigar e implementar las lecciones aprendidas de los accidentes e incidentes?</t>
    </r>
  </si>
  <si>
    <t>SOLADOS DE MADERA (TARIMAS / PARQUET)</t>
  </si>
  <si>
    <t>SOLADOS DE BALDOSAS CERÁMICAS / GRES</t>
  </si>
  <si>
    <r>
      <rPr>
        <b/>
        <sz val="11"/>
        <color theme="5"/>
        <rFont val="Arial Narrow"/>
        <family val="2"/>
      </rPr>
      <t>h.</t>
    </r>
    <r>
      <rPr>
        <sz val="11"/>
        <color theme="1"/>
        <rFont val="Arial Narrow"/>
        <family val="2"/>
      </rPr>
      <t xml:space="preserve"> evaluar los riesgos relacionados con el trabajo y desarrollar y aplicar métodos de trabajo seguros?</t>
    </r>
  </si>
  <si>
    <t>SOLADOS PLÁSTICOS (VINÍLO, PVC, LINOLEO)</t>
  </si>
  <si>
    <t>SOLADOS DEPORTIVOS</t>
  </si>
  <si>
    <r>
      <rPr>
        <b/>
        <sz val="11"/>
        <color theme="5"/>
        <rFont val="Arial Narrow"/>
        <family val="2"/>
      </rPr>
      <t xml:space="preserve">i. </t>
    </r>
    <r>
      <rPr>
        <sz val="11"/>
        <color theme="1"/>
        <rFont val="Arial Narrow"/>
        <family val="2"/>
      </rPr>
      <t>identificar, comprender y tratar de cumplir todos los requisitos legales aplicables de Seguridad, Salud y Medioambiente?</t>
    </r>
  </si>
  <si>
    <t>MOQUETAS</t>
  </si>
  <si>
    <t>TABIQUES MÓVILES</t>
  </si>
  <si>
    <r>
      <rPr>
        <b/>
        <sz val="11"/>
        <color theme="5"/>
        <rFont val="Arial Narrow"/>
        <family val="2"/>
      </rPr>
      <t>j.</t>
    </r>
    <r>
      <rPr>
        <sz val="11"/>
        <color theme="1"/>
        <rFont val="Arial Narrow"/>
        <family val="2"/>
      </rPr>
      <t xml:space="preserve"> garantizar que sus proveedores sean competentes y capaces de llevar a cabo su trabajo con seguridad?</t>
    </r>
  </si>
  <si>
    <t>MAMPARAS</t>
  </si>
  <si>
    <t>MAMPARAS ASEOS</t>
  </si>
  <si>
    <r>
      <rPr>
        <b/>
        <sz val="11"/>
        <color theme="5"/>
        <rFont val="Arial Narrow"/>
        <family val="2"/>
      </rPr>
      <t>k.</t>
    </r>
    <r>
      <rPr>
        <sz val="11"/>
        <color theme="1"/>
        <rFont val="Arial Narrow"/>
        <family val="2"/>
      </rPr>
      <t xml:space="preserve"> gestionar la reinserción laboral de los trabajadores lesionados?</t>
    </r>
  </si>
  <si>
    <t>PINTURAS</t>
  </si>
  <si>
    <t>CERRAJERÍA GRUESA</t>
  </si>
  <si>
    <t>...Número suficiente de recursos y supervisores competentes (proporcione evidencia de la competencia (experiencia, cualificaciones, formación); con ratio adecuado típico de supervisores y trabajadores)?</t>
  </si>
  <si>
    <t>METALISTERÍA (ACERO INOXIDABLE, ACERO, ALUMINIO, OTROS METALES)</t>
  </si>
  <si>
    <t>VALLADOS Y CERRAMIENTOS METÁLICOS</t>
  </si>
  <si>
    <t>...Asesoría técnico-legal competente para asesoramiento/asistencia de Seguridad, Salud y Medioambiente - tanto de carácter general como en el ámbito de la construcción del sector relacionado?</t>
  </si>
  <si>
    <t>PUERTAS RF</t>
  </si>
  <si>
    <t>PUERTAS METÁLICAS</t>
  </si>
  <si>
    <t>...Cualquier proceso judicial o acciones legales relacionados con la Seguridad, Salud y Medioambiente emprendidos contra la empresa en los últimos 5 años? (Detalle de las condenas y avisos)</t>
  </si>
  <si>
    <t>PUERTAS DE MADERA</t>
  </si>
  <si>
    <t>PUERTAS AUTOMÁTICAS</t>
  </si>
  <si>
    <t>Consignar los siguientes índices de siniestralidad de los tres últimos años:</t>
  </si>
  <si>
    <t>PUERTAS ESPECIALES - GRANDES DIMENSIONES - INDUSTRIALES -HANGARES</t>
  </si>
  <si>
    <t>Incidencia</t>
  </si>
  <si>
    <t>Frecuencia</t>
  </si>
  <si>
    <t>Gravedad</t>
  </si>
  <si>
    <r>
      <rPr>
        <b/>
        <sz val="8"/>
        <color theme="1"/>
        <rFont val="Arial"/>
        <family val="2"/>
      </rPr>
      <t>Índice de Incidencia</t>
    </r>
    <r>
      <rPr>
        <sz val="8"/>
        <color theme="1"/>
        <rFont val="Arial"/>
        <family val="2"/>
      </rPr>
      <t xml:space="preserve"> = (Nº de Accidentes de Trabajo / Población Afiliada) x 100.000</t>
    </r>
  </si>
  <si>
    <t>CARPINTERÍA DE MADERA EN GENERAL</t>
  </si>
  <si>
    <t>PANELES TIPO FENÓLICO, TRESPA, PRODEMA</t>
  </si>
  <si>
    <r>
      <rPr>
        <b/>
        <sz val="8"/>
        <color theme="1"/>
        <rFont val="Arial"/>
        <family val="2"/>
      </rPr>
      <t>Índice de Frecuencia</t>
    </r>
    <r>
      <rPr>
        <sz val="8"/>
        <color theme="1"/>
        <rFont val="Arial"/>
        <family val="2"/>
      </rPr>
      <t xml:space="preserve"> = (Nº de Accidentes de Trabajo  / Horas Trabajadas) x 1.000.000</t>
    </r>
  </si>
  <si>
    <t>CHAPADOS Y REVESTIMIENTOS PIEDRA NATURAL</t>
  </si>
  <si>
    <t>VIDRIERÍA</t>
  </si>
  <si>
    <r>
      <rPr>
        <b/>
        <sz val="10"/>
        <color theme="1"/>
        <rFont val="Arial Narrow"/>
        <family val="2"/>
      </rPr>
      <t>Índice de Gravedad</t>
    </r>
    <r>
      <rPr>
        <sz val="10"/>
        <color theme="1"/>
        <rFont val="Arial Narrow"/>
        <family val="2"/>
      </rPr>
      <t xml:space="preserve"> = (Días no trabajados  / Horas Trabajadas) x 1.000</t>
    </r>
  </si>
  <si>
    <t xml:space="preserve">SEÑALETICA </t>
  </si>
  <si>
    <t>ELEMENTOS E INSTALACIONES ACÚSTICAS</t>
  </si>
  <si>
    <t>ACABADOS EN GENERAL</t>
  </si>
  <si>
    <t>OTROS ACABADOS ESPECÍFICOS</t>
  </si>
  <si>
    <t>INSTALACIONES ELÉCTRICAS BAJA TENSIÓN</t>
  </si>
  <si>
    <t>INSTALACIONES ELÉCTRICAS MEDIA TENSIÓN</t>
  </si>
  <si>
    <t>EXPERIENCIA EN OBRAS EN LAS QUE HA INTERVENIDO BOVIS LEND LEASE</t>
  </si>
  <si>
    <t>G</t>
  </si>
  <si>
    <t>CENTROS DE TRANSFORMACIÓN- CELDAS Y TRAFOS</t>
  </si>
  <si>
    <t>DETECCIÓN DE INCENDIOS</t>
  </si>
  <si>
    <t>INDICAR EN EL LISTADO TODAS LAS OBRAS (SIN LIMITACIÓN DE AÑOS)</t>
  </si>
  <si>
    <t>FONTANERÍA</t>
  </si>
  <si>
    <t>SANEAMIENTO</t>
  </si>
  <si>
    <t>PROYECTO / OBRA</t>
  </si>
  <si>
    <t>CLIENTE</t>
  </si>
  <si>
    <t>UBICACIÓN DEL PROYECTO / OBRA</t>
  </si>
  <si>
    <t>AÑO</t>
  </si>
  <si>
    <t>IMPORTE CONTRATADO</t>
  </si>
  <si>
    <t>CONTRATISTA GENERAL ÚNICO /
 PAQUETES DE OBRA -TRABAJOS REALIZADOS</t>
  </si>
  <si>
    <t>POCERÍA</t>
  </si>
  <si>
    <t>GAS</t>
  </si>
  <si>
    <t>CLIMATIZACIÓN - VENTILACIÓN - EXTRACCIÓN</t>
  </si>
  <si>
    <t>EXTINCIÓN DE INCENDIOS</t>
  </si>
  <si>
    <t>INSTALACIONES PARTICULARES CPD</t>
  </si>
  <si>
    <t>INSTALACIÓN PROTECCIÓN CONTRAINCENDIOS</t>
  </si>
  <si>
    <t>INSTALACIÓN ENERGÍA SOLAR (FOTOVOLTAICA /SOLAR TÉRMICA)</t>
  </si>
  <si>
    <t>INSTALACIONES DE VOZ Y DATOS / TELEFONÍA / COMUNICACIONES</t>
  </si>
  <si>
    <t>CONTROL DE ACCESOS</t>
  </si>
  <si>
    <t>SEGURIDAD - CCTV</t>
  </si>
  <si>
    <t>INSTALACIONES DE DOMÓTICA</t>
  </si>
  <si>
    <t>INSTALACION GESTIÓN INTEGRAL DEL EDIFICIO (BMS)</t>
  </si>
  <si>
    <t>INSTALACIÓN DETECCIÓN ESPECIAL (TIPO VESDA)</t>
  </si>
  <si>
    <t>SISTEMAS ESPECIALES DE EXTINCIÓN DE INCENDIOS</t>
  </si>
  <si>
    <t>INSTALACION DE CONTEO DE PERSONAS</t>
  </si>
  <si>
    <t>EXPERIENCIA SIN LA INTERVENCIÓN DE BOVIS LEND LEASE (CONSIGNAR SÓLO LOS ÚLTIMOS 3 AÑOS)</t>
  </si>
  <si>
    <t>H</t>
  </si>
  <si>
    <t>INSTALACION DE GESTIÓN Y GUIADO DE PARKINGS</t>
  </si>
  <si>
    <t>INSTALACIONES AUDIOVISUALES</t>
  </si>
  <si>
    <t>EDIFICIOS DE OFICINAS</t>
  </si>
  <si>
    <t>ASCENSORES</t>
  </si>
  <si>
    <t>ESCALERAS MECÁNICAS Y "TRAVELATORS"</t>
  </si>
  <si>
    <t>MONTACARGAS</t>
  </si>
  <si>
    <t>REHABILITACIÓN COMPLETA DE EDIFICIOS</t>
  </si>
  <si>
    <t>REFUERZOS Y REHABILITACIÓN ESTRUCTURAL</t>
  </si>
  <si>
    <t>REHABILITACIÓN FACHADAS</t>
  </si>
  <si>
    <t>REHABILITACIONES Y REFORMAS INTERIORES</t>
  </si>
  <si>
    <t>EQUIPAMIENTO HOTELES / RESIDENCIAS ESTUDIANTES</t>
  </si>
  <si>
    <t>EQUIPAMIENTO HOSPITALES / RESIDENCIAS</t>
  </si>
  <si>
    <t>MOBILIARIO Y EQUIPAMIENTO DE OFICINAS</t>
  </si>
  <si>
    <t>MOBILIARIO Y EQUIPAMIENTO DE CENTROS COMERCIALES</t>
  </si>
  <si>
    <t>MOBILIARIO Y EQUIPAMIENTO DEPORTIVO</t>
  </si>
  <si>
    <t>EQUIPAMIENTO EN GENERAL</t>
  </si>
  <si>
    <t>MOBILIARIO Y EQUIPAMIENTO ESPECÍFICO DE LABORATORIOS</t>
  </si>
  <si>
    <t>SPA Y SAUNAS</t>
  </si>
  <si>
    <t>CENTROS COMERCIALES / LOCALES COMERCIALES</t>
  </si>
  <si>
    <t>EQUIPAMIENTO AUDIOVISUAL</t>
  </si>
  <si>
    <t>EQUIPAMIENTO INFORMÁTICO</t>
  </si>
  <si>
    <t>PROYECTOS DE HOSPITALES / CENTROS SANITARIOS</t>
  </si>
  <si>
    <t>CLÍNICA SANT JORDI</t>
  </si>
  <si>
    <t>COTCA</t>
  </si>
  <si>
    <t>BARCELONA</t>
  </si>
  <si>
    <t>CONTROL DE CALIDAD Y PRUEBAS</t>
  </si>
  <si>
    <t>PROYECTOS DE HOTELES / RESIDENCIAS 3ª EDAD / RESIDENCIAS ESTUDIANTES</t>
  </si>
  <si>
    <t>PROYECTOS DE EQUIPAMIENTO- MUSEOS, CENTROS CULTURALES, AUDITORIOS, CENTROS DE CONVENCIONES, PALACIOS CONGRESOS</t>
  </si>
  <si>
    <t>PROYECTOS INDUSTRIALES / LOGÍSTICOS</t>
  </si>
  <si>
    <t>PROYECTOS DE VIVIENDA RESIDENCIAL</t>
  </si>
  <si>
    <t>OBRAS DE REHABILITACIÓN DE EDIFICIOS</t>
  </si>
  <si>
    <t>OTROS PROYECTOS</t>
  </si>
  <si>
    <t>Los datos personales que se nos proporcionan en este documento, así como los de las personas con las que mantengamos contacto como parte de la relación negocial entre ambas partes formarán parte de ficheros responsabilidad de BOVIS . (Ley Orgánica 15/1999 de Protección de Datos de Carácter Personal).</t>
  </si>
  <si>
    <t>Dichos datos serán tratados con la finalidad de gestionarle como proveedor, gestión de compras, administración y gestión económica y contable.</t>
  </si>
  <si>
    <t>Podrá ejercitar sus derechos de acceso, rectificación, cancelación u oposición poniéndose en contacto por escrito con nuestra empresa o a través de la dirección de correo electrónico Pedro.prieto@bovis.es</t>
  </si>
  <si>
    <t>CAMPUS UNIVERSITARIOS</t>
  </si>
  <si>
    <t>2019/2020</t>
  </si>
  <si>
    <t>CONTRATISTA ÚNICO</t>
  </si>
  <si>
    <t>COLEGIOS DIOCESANOS VALENCIA</t>
  </si>
  <si>
    <t>VALENCIA</t>
  </si>
  <si>
    <t>2017/2018</t>
  </si>
  <si>
    <t>REHABILITACIÓN COLEGIO AVE MARÍA DE  PEÑAROCHA</t>
  </si>
  <si>
    <t>EJECUCIÓN COLEGIO CEIP 103</t>
  </si>
  <si>
    <t>CONSELLERIA DE EDUCACIÓN</t>
  </si>
  <si>
    <t>2018/2019</t>
  </si>
  <si>
    <t xml:space="preserve">EJECUCIÓN COLEGIO VILLAMALEA </t>
  </si>
  <si>
    <t>JUNTA DE CASTILLA LA MANCHA</t>
  </si>
  <si>
    <t>VILLAMALEA (ALBACETE)</t>
  </si>
  <si>
    <t>EJECUCIÓN IES Nº 11 ELCHE</t>
  </si>
  <si>
    <t>CONSELLERIA DE EDUCACION</t>
  </si>
  <si>
    <t>ELCHE (ALICANTE)</t>
  </si>
  <si>
    <t>2020/2021</t>
  </si>
  <si>
    <t>NUEVAS INSTALACIONES RAFIA INDUSTRIAL</t>
  </si>
  <si>
    <t>RAFIA INDUSTRIAL</t>
  </si>
  <si>
    <t>VIANLESA (VALENCIA)</t>
  </si>
  <si>
    <t>NAVE INDUSTRIAL ALFAFAR PARK</t>
  </si>
  <si>
    <t>INMUEBLES RODRIGO S.L</t>
  </si>
  <si>
    <t>ALAFAFAR (VALENCIA)</t>
  </si>
  <si>
    <t>REHABILITACIÓN INSTALACIONES ACEITES ALBERT S.A</t>
  </si>
  <si>
    <t>ACEITES ALBERT S.A</t>
  </si>
  <si>
    <t>FOIOS (VALENCIA)</t>
  </si>
  <si>
    <t>2017/2019</t>
  </si>
  <si>
    <t>REHABILITACIÓN FACHADAS EDIFICIOS COLONIA SANTA ISABEL</t>
  </si>
  <si>
    <t>AYUNTAMIENTO DE SAN VICENTE DEL RASPEIG</t>
  </si>
  <si>
    <t>SAN VICENTE DEL RASPEIG</t>
  </si>
  <si>
    <t>RESIDENCIAL AURA / 27 VIVIENDAS</t>
  </si>
  <si>
    <t>WHITE INVESTING</t>
  </si>
  <si>
    <t>TORRENTE (VALENCIA)</t>
  </si>
  <si>
    <t>RESIDENCIAL SANTA TERESA / 48 VIVIENDAS</t>
  </si>
  <si>
    <t>GRUPO LAR</t>
  </si>
  <si>
    <t>ROCAFORT (VALENCIA)</t>
  </si>
  <si>
    <t>JÁVEA (ALICANTE)</t>
  </si>
  <si>
    <t>DISEÑO ANÓNIMO</t>
  </si>
  <si>
    <t>RESIDENCIAL NUBA (11 APARTAMENTOS)</t>
  </si>
  <si>
    <t>RESIDENCIAL CÚBICA (9 APARTAMENTOS LUJO)</t>
  </si>
  <si>
    <t>RESIDENCIAL MIRADOR REINA (APARTAMENTOS TURÑISTICOS)</t>
  </si>
  <si>
    <t>ANILLO VERDE METROPOLITANO TRAMO 1</t>
  </si>
  <si>
    <t>CONSELLERIA INFRAESTRUCTURAS</t>
  </si>
  <si>
    <t>CONTRATISTA UNICO</t>
  </si>
  <si>
    <t>AEDAS HOMES</t>
  </si>
  <si>
    <t xml:space="preserve">VALENCIA </t>
  </si>
  <si>
    <t>RESIDENCIAL CARRRERES (59 VIVIENDAS)</t>
  </si>
  <si>
    <t>RESIDENCIAL TORRES ( 120 VIVIENDAS)</t>
  </si>
  <si>
    <t>APARTAMENTOS LA MARINA EN REINA 2 S.L</t>
  </si>
  <si>
    <t>SKY HOMES ( 419 VIVIENDAS)</t>
  </si>
  <si>
    <t>NEINOR HOMES</t>
  </si>
  <si>
    <t>HABITAT MALILLA PARQUE (56 VIVIENDAS)</t>
  </si>
  <si>
    <t>HABITAT INMOBILIARIA</t>
  </si>
  <si>
    <t>RESIDENCIAL VEGA (32 VIVIENDAS)</t>
  </si>
  <si>
    <t>SOLPRIGA S.L</t>
  </si>
  <si>
    <t>RESIDENCIAL SAN JUAN ( 95 VIVIENDAS)</t>
  </si>
  <si>
    <t>SAN JUAN (ALICANTE)</t>
  </si>
  <si>
    <t>2021/2022</t>
  </si>
  <si>
    <t>Directores</t>
  </si>
  <si>
    <t>Técnicos de Estructura</t>
  </si>
  <si>
    <t>Administrativo</t>
  </si>
  <si>
    <t>Técnicos de Obra</t>
  </si>
  <si>
    <t>Encargados de Obra</t>
  </si>
  <si>
    <t>Operarios</t>
  </si>
  <si>
    <t>VIALTERRA INFRAESTRUCTURAS SA</t>
  </si>
  <si>
    <t>A23434970</t>
  </si>
  <si>
    <t>C/Ignacio Figueroa n1A 1º</t>
  </si>
  <si>
    <t>JAEN</t>
  </si>
  <si>
    <t>23001</t>
  </si>
  <si>
    <t>DAVID CUENCA VELAZQUEZ</t>
  </si>
  <si>
    <t>dcv@vialterra.com</t>
  </si>
  <si>
    <t>636 290 590</t>
  </si>
  <si>
    <t>GREGORIA GOMEZ CUENCA</t>
  </si>
  <si>
    <t>yoyi@vialterra.com</t>
  </si>
  <si>
    <t>JOSE MANUEL VILLAMOR ALGUACIL</t>
  </si>
  <si>
    <t>jmvillamor@vialterra.com</t>
  </si>
  <si>
    <t>Manuel Zambrano Nevado mzambrano@vialterra.com</t>
  </si>
  <si>
    <t>PIGASOL S.L.</t>
  </si>
  <si>
    <t>C/ Galtzareta, 5D</t>
  </si>
  <si>
    <t>Durango</t>
  </si>
  <si>
    <t>Vizcaya</t>
  </si>
  <si>
    <t xml:space="preserve">ANTONIO FRANCISCO MORALES </t>
  </si>
  <si>
    <t>H26 ESTRUCTURAS Y FERRALLAS SL</t>
  </si>
  <si>
    <t>ZARDOYA OTIS SL</t>
  </si>
  <si>
    <t>GREENCOOL DEVELOMENT SL</t>
  </si>
  <si>
    <t>MICROPILOTES Y ANCLAJES DEL MEDITERRANEO SL</t>
  </si>
  <si>
    <t>PROMISUR OCCIDENTAL SL</t>
  </si>
  <si>
    <t>MANUFACTURAS Y MONTAJE DEL ACERO EN OBRAS SL</t>
  </si>
  <si>
    <t>HERMANOS ROBLEDO HERNANDEZ SL</t>
  </si>
  <si>
    <t>DAVID AMEZCUA MARTIN</t>
  </si>
  <si>
    <t>ESTRUCTURAS MEDUS SL</t>
  </si>
  <si>
    <t>ALLIANZ</t>
  </si>
  <si>
    <t>12.000.000€</t>
  </si>
  <si>
    <t>PARA CADA OBRA SE HACE EL TODO RIESGO QUE ESIGE EL PROMOTOR</t>
  </si>
  <si>
    <t>X</t>
  </si>
  <si>
    <t>2,9</t>
  </si>
  <si>
    <t>22,65</t>
  </si>
  <si>
    <t>0,12</t>
  </si>
  <si>
    <t>3,6</t>
  </si>
  <si>
    <t>0,23</t>
  </si>
  <si>
    <t>5,7</t>
  </si>
  <si>
    <t>0,43</t>
  </si>
  <si>
    <t>EDIFICIO HOTELERO ALBORAYA</t>
  </si>
  <si>
    <t>INTERHOUSING PATACONA SL</t>
  </si>
  <si>
    <t>14.107.291,31</t>
  </si>
  <si>
    <t>RESIDENCIAL SYLLABUS</t>
  </si>
  <si>
    <t>INTERHOUSING CERROJO SL</t>
  </si>
  <si>
    <t>5.860.934,45</t>
  </si>
  <si>
    <t>ACUERDO MARCO LOTE 3,8 Y 11 SAS GRANADA</t>
  </si>
  <si>
    <t>SERVICIO ANDALUZ DE SALUD</t>
  </si>
  <si>
    <t>GRANADA</t>
  </si>
  <si>
    <t>ADAPTACIÓN ESPACIOS EDIFICIO C6</t>
  </si>
  <si>
    <t>UNIVERSIDAD DE JAÉN</t>
  </si>
  <si>
    <t>JAÉN</t>
  </si>
  <si>
    <t>AVDA BLAZCO IBAÑEZ, Nº1, 46 VALENCIA</t>
  </si>
  <si>
    <t>C/ AGUSTIN PAREJO Nº17 MÁLAGA</t>
  </si>
  <si>
    <t>CENTRO DE SALUD CASA DEL MAR</t>
  </si>
  <si>
    <t>ALMERÍA</t>
  </si>
  <si>
    <t>RESIDENCIA DE MAYORES EN VERA</t>
  </si>
  <si>
    <t>AVITA SERVICIOS GERIATRICOS</t>
  </si>
  <si>
    <t>VERA - ALMERIA</t>
  </si>
  <si>
    <t>REFORMA RESIDENCIA DALÍAS Y BERJA</t>
  </si>
  <si>
    <t>DALIAS / BERJA - ALMERÍA</t>
  </si>
  <si>
    <t>RESIDENCIA DE MAYORES EL PORVENIR</t>
  </si>
  <si>
    <t>BALLESOL</t>
  </si>
  <si>
    <t>SEVILLA</t>
  </si>
  <si>
    <t>CONTRATISTA EN UTE CON GRUPO PLAZA</t>
  </si>
  <si>
    <t>AMELTO</t>
  </si>
  <si>
    <t>ALMERIA</t>
  </si>
  <si>
    <t>2019/2021</t>
  </si>
  <si>
    <t>RESIDENCIALES MARINA III, IV Y V EN VEGA DE ACA (220 VIVIENDAS)</t>
  </si>
  <si>
    <t>HACIENDA HOMES 341 VIVIENDAS EN MÁLAGA</t>
  </si>
  <si>
    <t>MÁLAGA</t>
  </si>
  <si>
    <t>41 VIVIENDAS INDUSTRIALIZADAS EN CAÑAVERAL</t>
  </si>
  <si>
    <t>MADRID</t>
  </si>
  <si>
    <t>SOLPRIGA - INTERPARKING - AYUNTAMIENTO DE JAEN</t>
  </si>
  <si>
    <t>ACCESO SOTERRADO-  TÚNEL URBANO DE 100M EN JAEN</t>
  </si>
  <si>
    <t>CEIP PARACUELLOS DE JARAMA</t>
  </si>
  <si>
    <t>CONSEJERÍA DE EDUCACIÓN</t>
  </si>
  <si>
    <t>PARACUELLOS DE JARAMA (MADRID)</t>
  </si>
  <si>
    <t>IMPERMEABILIZACIÓN NAVES INDUSTRIALES EN VALLECAS</t>
  </si>
  <si>
    <t>SOLPRIGA</t>
  </si>
  <si>
    <t>MEJORA RED VIARIA EL PARADOR</t>
  </si>
  <si>
    <t>AYTO. ROQUETAS DE MAR</t>
  </si>
  <si>
    <t>ROQUETAS DE MAR (ALMERÍA)</t>
  </si>
  <si>
    <t>MAIRENA HOMES 144 VIVIENDAS EN SEVILLA</t>
  </si>
  <si>
    <t>MAIRENA DEL ALJARAFE (SEVILLA)</t>
  </si>
  <si>
    <t>NUEVO IES ARGANZUELA</t>
  </si>
  <si>
    <t>AMPLIACION IES LAS ROZAS DE MADRID</t>
  </si>
  <si>
    <t>LAS ROZAS - MADRID</t>
  </si>
  <si>
    <t>PABELLON ANEXO AREA SANIDAD EN TOLEDO</t>
  </si>
  <si>
    <t>ADMINISTRACION DEL ESTADO</t>
  </si>
  <si>
    <t>TOLEDO</t>
  </si>
  <si>
    <t>AMPLIACIÓN ALMAZARA CORTIJO DE LA LOMA</t>
  </si>
  <si>
    <t>CORTIJO DE LA LOMA, S.L.</t>
  </si>
  <si>
    <t>BAEZA (JAÉN)</t>
  </si>
  <si>
    <t>209/202</t>
  </si>
  <si>
    <t>RESIDENCIA GERIATRICA VIRGEN DEL SALIENTE EN ALBOX</t>
  </si>
  <si>
    <t>SERVICIOS GERIATRICOS DE ALMERÍA</t>
  </si>
  <si>
    <t>ALBOX (ALMERÍA)</t>
  </si>
  <si>
    <t>RESIDENCIA DE ESTUDIANTES EN BARRIO DE SALAMANCA</t>
  </si>
  <si>
    <t>COLIE INVESTMENT SOCIMI</t>
  </si>
  <si>
    <t>NUEVO CEIP VALDEBEBAS EN MADRID</t>
  </si>
  <si>
    <t xml:space="preserve">CENTRO DE DIA Y ESTANCIA DIURNA </t>
  </si>
  <si>
    <t>AYTO. SANTA MARIA DEL PARAMO</t>
  </si>
  <si>
    <t>SANTA MARÍA DEL PÁRAMO (LEÓN)</t>
  </si>
  <si>
    <t>RESTAURACIÓN DE FACHADAS EN EDIFICIO DE DELEGACIÓN DE LEÓN</t>
  </si>
  <si>
    <t>AEAT</t>
  </si>
  <si>
    <t>LEÓN</t>
  </si>
  <si>
    <t>NUEVA AMPLIACIÓN PABELLÓN MUNICIPAL DE DEPORTES</t>
  </si>
  <si>
    <t>AYTO. DE PALENCIA</t>
  </si>
  <si>
    <t>PALENCIA</t>
  </si>
  <si>
    <t>REFORMA Y ACONDICIONAMIENTO HOSPITAL DE DIA ONCOLOGICO</t>
  </si>
  <si>
    <t>NUEVA SEDE INSS DE LEÓN</t>
  </si>
  <si>
    <t>INSTITUTO NACIONAL DE LA SEGURIDAD SOCIAL</t>
  </si>
  <si>
    <t xml:space="preserve">SERVICIO INTEGRAL DE ILUMINACIÓN EXTERIOR </t>
  </si>
  <si>
    <t>AYTO. DE BERJA</t>
  </si>
  <si>
    <t>BERJA (ALMERÍA)</t>
  </si>
  <si>
    <t>RESIDENCIA DE ESTUDIANTES DE LA UNIVERSIDAD DE JAEN</t>
  </si>
  <si>
    <t>CONTRATITA EN UTE CON VIAS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</si>
</sst>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 &quot;€&quot;"/>
    <numFmt numFmtId="165" formatCode="dd\-mm\-yy;@"/>
  </numFmts>
  <fonts count="42" x14ac:knownFonts="1">
    <font>
      <sz val="11"/>
      <color theme="1"/>
      <name val="Calibri"/>
      <family val="2"/>
      <scheme val="minor"/>
    </font>
    <font>
      <b/>
      <sz val="10"/>
      <color theme="1"/>
      <name val="Arial Narrow"/>
      <family val="2"/>
    </font>
    <font>
      <sz val="10"/>
      <color theme="1"/>
      <name val="Arial"/>
      <family val="2"/>
    </font>
    <font>
      <sz val="10"/>
      <color theme="1"/>
      <name val="Arial Narrow"/>
      <family val="2"/>
    </font>
    <font>
      <b/>
      <sz val="10"/>
      <color indexed="8"/>
      <name val="Arial Narrow"/>
      <family val="2"/>
    </font>
    <font>
      <b/>
      <sz val="18"/>
      <color indexed="8"/>
      <name val="Arial Narrow"/>
      <family val="2"/>
    </font>
    <font>
      <b/>
      <sz val="12"/>
      <color rgb="FFFFFFFF"/>
      <name val="Arial Narrow"/>
      <family val="2"/>
    </font>
    <font>
      <b/>
      <sz val="14"/>
      <color theme="5"/>
      <name val="Arial Narrow"/>
      <family val="2"/>
    </font>
    <font>
      <b/>
      <sz val="14"/>
      <color theme="1"/>
      <name val="Arial"/>
      <family val="2"/>
    </font>
    <font>
      <sz val="10"/>
      <name val="Arial"/>
      <family val="2"/>
    </font>
    <font>
      <b/>
      <sz val="11"/>
      <color theme="5"/>
      <name val="Arial Narrow"/>
      <family val="2"/>
    </font>
    <font>
      <sz val="10"/>
      <color theme="5"/>
      <name val="Arial Narrow"/>
      <family val="2"/>
    </font>
    <font>
      <b/>
      <sz val="12"/>
      <color theme="5"/>
      <name val="Arial Narrow"/>
      <family val="2"/>
    </font>
    <font>
      <sz val="10"/>
      <name val="Arial Narrow"/>
      <family val="2"/>
    </font>
    <font>
      <b/>
      <sz val="10"/>
      <color theme="5"/>
      <name val="Arial Narrow"/>
      <family val="2"/>
    </font>
    <font>
      <sz val="7"/>
      <color indexed="8"/>
      <name val="Times New Roman"/>
      <family val="1"/>
    </font>
    <font>
      <sz val="10"/>
      <color indexed="8"/>
      <name val="Arial"/>
      <family val="2"/>
    </font>
    <font>
      <b/>
      <sz val="8"/>
      <color rgb="FF002060"/>
      <name val="Arial Narrow"/>
      <family val="2"/>
    </font>
    <font>
      <b/>
      <sz val="8"/>
      <color rgb="FF002060"/>
      <name val="Arial"/>
      <family val="2"/>
    </font>
    <font>
      <sz val="10"/>
      <color indexed="8"/>
      <name val="Arial Narrow"/>
      <family val="2"/>
    </font>
    <font>
      <sz val="10"/>
      <color theme="1"/>
      <name val="Times New Roman"/>
      <family val="1"/>
    </font>
    <font>
      <b/>
      <sz val="12"/>
      <color theme="0"/>
      <name val="Arial Narrow"/>
      <family val="2"/>
    </font>
    <font>
      <b/>
      <sz val="11"/>
      <color theme="0"/>
      <name val="Arial Narrow"/>
      <family val="2"/>
    </font>
    <font>
      <b/>
      <sz val="10"/>
      <color theme="1"/>
      <name val="Arial"/>
      <family val="2"/>
    </font>
    <font>
      <sz val="11"/>
      <color theme="1"/>
      <name val="Arial Narrow"/>
      <family val="2"/>
    </font>
    <font>
      <b/>
      <sz val="11"/>
      <color theme="1"/>
      <name val="Arial Narrow"/>
      <family val="2"/>
    </font>
    <font>
      <sz val="11"/>
      <color theme="1"/>
      <name val="Arial"/>
      <family val="2"/>
    </font>
    <font>
      <sz val="11"/>
      <color indexed="8"/>
      <name val="Arial Narrow"/>
      <family val="2"/>
    </font>
    <font>
      <sz val="8"/>
      <color theme="1"/>
      <name val="Arial"/>
      <family val="2"/>
    </font>
    <font>
      <b/>
      <sz val="8"/>
      <color theme="1"/>
      <name val="Arial"/>
      <family val="2"/>
    </font>
    <font>
      <b/>
      <sz val="10"/>
      <color rgb="FFFF0000"/>
      <name val="Arial Narrow"/>
      <family val="2"/>
    </font>
    <font>
      <sz val="12"/>
      <color theme="5" tint="-0.499984740745262"/>
      <name val="Calibri"/>
      <family val="2"/>
      <scheme val="minor"/>
    </font>
    <font>
      <b/>
      <sz val="11"/>
      <color theme="5" tint="-0.499984740745262"/>
      <name val="Calibri"/>
      <family val="2"/>
      <scheme val="minor"/>
    </font>
    <font>
      <b/>
      <sz val="10"/>
      <color theme="5" tint="-0.499984740745262"/>
      <name val="Calibri"/>
      <family val="2"/>
      <scheme val="minor"/>
    </font>
    <font>
      <sz val="9"/>
      <color theme="1"/>
      <name val="Calibri"/>
      <family val="2"/>
      <scheme val="minor"/>
    </font>
    <font>
      <sz val="11"/>
      <color theme="5" tint="-0.499984740745262"/>
      <name val="Arial"/>
      <family val="2"/>
    </font>
    <font>
      <sz val="11"/>
      <color theme="5" tint="-0.499984740745262"/>
      <name val="Calibri"/>
      <family val="2"/>
      <scheme val="minor"/>
    </font>
    <font>
      <b/>
      <sz val="8"/>
      <color indexed="81"/>
      <name val="Tahoma"/>
      <family val="2"/>
    </font>
    <font>
      <sz val="8"/>
      <color indexed="81"/>
      <name val="Tahoma"/>
      <family val="2"/>
    </font>
    <font>
      <u/>
      <sz val="11"/>
      <color theme="11"/>
      <name val="Calibri"/>
      <family val="2"/>
      <scheme val="minor"/>
    </font>
    <font>
      <sz val="8"/>
      <name val="Calibri"/>
      <family val="2"/>
      <scheme val="minor"/>
    </font>
    <font>
      <sz val="9"/>
      <color rgb="FF000000"/>
      <name val="Calibri"/>
      <family val="2"/>
      <scheme val="minor"/>
    </font>
  </fonts>
  <fills count="11">
    <fill>
      <patternFill patternType="none"/>
    </fill>
    <fill>
      <patternFill patternType="gray125"/>
    </fill>
    <fill>
      <patternFill patternType="solid">
        <fgColor theme="8" tint="0.79998168889431442"/>
        <bgColor indexed="64"/>
      </patternFill>
    </fill>
    <fill>
      <patternFill patternType="solid">
        <fgColor rgb="FF4B6CAE"/>
        <bgColor indexed="64"/>
      </patternFill>
    </fill>
    <fill>
      <patternFill patternType="solid">
        <fgColor theme="0"/>
        <bgColor indexed="64"/>
      </patternFill>
    </fill>
    <fill>
      <patternFill patternType="solid">
        <fgColor theme="0" tint="-0.249977111117893"/>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3" tint="-0.499984740745262"/>
        <bgColor indexed="64"/>
      </patternFill>
    </fill>
    <fill>
      <patternFill patternType="solid">
        <fgColor theme="8" tint="-0.499984740745262"/>
        <bgColor indexed="64"/>
      </patternFill>
    </fill>
  </fills>
  <borders count="58">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bottom style="thin">
        <color theme="4" tint="0.79998168889431442"/>
      </bottom>
      <diagonal/>
    </border>
    <border>
      <left/>
      <right/>
      <top style="thin">
        <color theme="4" tint="0.79998168889431442"/>
      </top>
      <bottom style="thin">
        <color theme="4" tint="0.79998168889431442"/>
      </bottom>
      <diagonal/>
    </border>
    <border>
      <left/>
      <right/>
      <top style="thin">
        <color theme="4" tint="0.79998168889431442"/>
      </top>
      <bottom/>
      <diagonal/>
    </border>
    <border>
      <left/>
      <right style="thin">
        <color theme="4" tint="0.79998168889431442"/>
      </right>
      <top/>
      <bottom style="hair">
        <color theme="4" tint="0.79998168889431442"/>
      </bottom>
      <diagonal/>
    </border>
    <border>
      <left style="thin">
        <color theme="4" tint="0.79998168889431442"/>
      </left>
      <right style="thin">
        <color theme="4" tint="0.79998168889431442"/>
      </right>
      <top/>
      <bottom style="hair">
        <color theme="4" tint="0.79998168889431442"/>
      </bottom>
      <diagonal/>
    </border>
    <border>
      <left style="thin">
        <color theme="4" tint="0.79998168889431442"/>
      </left>
      <right/>
      <top/>
      <bottom style="hair">
        <color theme="4" tint="0.79998168889431442"/>
      </bottom>
      <diagonal/>
    </border>
    <border>
      <left/>
      <right/>
      <top/>
      <bottom style="hair">
        <color theme="4" tint="0.79998168889431442"/>
      </bottom>
      <diagonal/>
    </border>
    <border>
      <left/>
      <right style="thin">
        <color theme="4" tint="0.79998168889431442"/>
      </right>
      <top style="hair">
        <color theme="4" tint="0.79998168889431442"/>
      </top>
      <bottom/>
      <diagonal/>
    </border>
    <border>
      <left style="thin">
        <color theme="4" tint="0.79998168889431442"/>
      </left>
      <right style="thin">
        <color theme="4" tint="0.79998168889431442"/>
      </right>
      <top style="hair">
        <color theme="4" tint="0.79998168889431442"/>
      </top>
      <bottom/>
      <diagonal/>
    </border>
    <border>
      <left style="thin">
        <color theme="4" tint="0.79998168889431442"/>
      </left>
      <right/>
      <top style="hair">
        <color theme="4" tint="0.79998168889431442"/>
      </top>
      <bottom/>
      <diagonal/>
    </border>
    <border>
      <left/>
      <right/>
      <top style="hair">
        <color theme="4" tint="0.79998168889431442"/>
      </top>
      <bottom/>
      <diagonal/>
    </border>
    <border>
      <left/>
      <right style="thin">
        <color theme="4" tint="0.79998168889431442"/>
      </right>
      <top style="hair">
        <color theme="4" tint="0.79995117038483843"/>
      </top>
      <bottom style="hair">
        <color theme="4" tint="0.79995117038483843"/>
      </bottom>
      <diagonal/>
    </border>
    <border>
      <left style="thin">
        <color theme="4" tint="0.79998168889431442"/>
      </left>
      <right style="thin">
        <color theme="4" tint="0.79998168889431442"/>
      </right>
      <top style="hair">
        <color theme="4" tint="0.79995117038483843"/>
      </top>
      <bottom style="hair">
        <color theme="4" tint="0.79995117038483843"/>
      </bottom>
      <diagonal/>
    </border>
    <border>
      <left style="thin">
        <color theme="4" tint="0.79998168889431442"/>
      </left>
      <right/>
      <top style="hair">
        <color theme="4" tint="0.79995117038483843"/>
      </top>
      <bottom style="hair">
        <color theme="4" tint="0.79995117038483843"/>
      </bottom>
      <diagonal/>
    </border>
    <border>
      <left/>
      <right/>
      <top/>
      <bottom style="hair">
        <color theme="3" tint="0.79995117038483843"/>
      </bottom>
      <diagonal/>
    </border>
    <border>
      <left/>
      <right/>
      <top style="hair">
        <color theme="3" tint="0.79995117038483843"/>
      </top>
      <bottom style="hair">
        <color theme="3" tint="0.79995117038483843"/>
      </bottom>
      <diagonal/>
    </border>
    <border>
      <left/>
      <right/>
      <top style="hair">
        <color theme="3" tint="0.79995117038483843"/>
      </top>
      <bottom/>
      <diagonal/>
    </border>
    <border>
      <left/>
      <right style="thin">
        <color theme="4" tint="0.79998168889431442"/>
      </right>
      <top/>
      <bottom/>
      <diagonal/>
    </border>
    <border>
      <left style="thin">
        <color theme="4" tint="0.79998168889431442"/>
      </left>
      <right style="thin">
        <color theme="4" tint="0.79998168889431442"/>
      </right>
      <top/>
      <bottom/>
      <diagonal/>
    </border>
    <border>
      <left style="thin">
        <color theme="4" tint="0.79998168889431442"/>
      </left>
      <right/>
      <top/>
      <bottom/>
      <diagonal/>
    </border>
    <border>
      <left style="hair">
        <color auto="1"/>
      </left>
      <right style="hair">
        <color auto="1"/>
      </right>
      <top style="hair">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theme="8" tint="0.79998168889431442"/>
      </right>
      <top/>
      <bottom style="medium">
        <color theme="4" tint="0.79998168889431442"/>
      </bottom>
      <diagonal/>
    </border>
    <border>
      <left style="thin">
        <color theme="8" tint="0.79998168889431442"/>
      </left>
      <right style="thin">
        <color theme="8" tint="0.79998168889431442"/>
      </right>
      <top/>
      <bottom style="medium">
        <color theme="4" tint="0.79998168889431442"/>
      </bottom>
      <diagonal/>
    </border>
    <border>
      <left style="hair">
        <color theme="8" tint="0.79998168889431442"/>
      </left>
      <right/>
      <top/>
      <bottom style="medium">
        <color theme="4" tint="0.79998168889431442"/>
      </bottom>
      <diagonal/>
    </border>
    <border>
      <left/>
      <right style="hair">
        <color theme="8" tint="0.79998168889431442"/>
      </right>
      <top/>
      <bottom style="medium">
        <color theme="4" tint="0.79998168889431442"/>
      </bottom>
      <diagonal/>
    </border>
    <border>
      <left style="thin">
        <color theme="8" tint="0.79998168889431442"/>
      </left>
      <right style="thin">
        <color theme="8" tint="0.79995117038483843"/>
      </right>
      <top/>
      <bottom style="medium">
        <color theme="4" tint="0.79998168889431442"/>
      </bottom>
      <diagonal/>
    </border>
    <border>
      <left/>
      <right/>
      <top/>
      <bottom style="medium">
        <color theme="4" tint="0.79998168889431442"/>
      </bottom>
      <diagonal/>
    </border>
    <border>
      <left/>
      <right style="thin">
        <color theme="8" tint="0.79998168889431442"/>
      </right>
      <top style="medium">
        <color theme="4" tint="0.79998168889431442"/>
      </top>
      <bottom style="medium">
        <color theme="4" tint="0.79998168889431442"/>
      </bottom>
      <diagonal/>
    </border>
    <border>
      <left style="thin">
        <color theme="8" tint="0.79998168889431442"/>
      </left>
      <right style="thin">
        <color theme="8" tint="0.79998168889431442"/>
      </right>
      <top style="medium">
        <color theme="4" tint="0.79998168889431442"/>
      </top>
      <bottom style="medium">
        <color theme="4" tint="0.79998168889431442"/>
      </bottom>
      <diagonal/>
    </border>
    <border>
      <left style="hair">
        <color theme="8" tint="0.79998168889431442"/>
      </left>
      <right/>
      <top style="medium">
        <color theme="4" tint="0.79998168889431442"/>
      </top>
      <bottom style="medium">
        <color theme="4" tint="0.79998168889431442"/>
      </bottom>
      <diagonal/>
    </border>
    <border>
      <left/>
      <right style="hair">
        <color theme="8" tint="0.79998168889431442"/>
      </right>
      <top style="medium">
        <color theme="4" tint="0.79998168889431442"/>
      </top>
      <bottom style="medium">
        <color theme="4" tint="0.79998168889431442"/>
      </bottom>
      <diagonal/>
    </border>
    <border>
      <left style="thin">
        <color theme="8" tint="0.79998168889431442"/>
      </left>
      <right style="thin">
        <color theme="8" tint="0.79995117038483843"/>
      </right>
      <top style="medium">
        <color theme="4" tint="0.79998168889431442"/>
      </top>
      <bottom style="medium">
        <color theme="4" tint="0.79998168889431442"/>
      </bottom>
      <diagonal/>
    </border>
    <border>
      <left/>
      <right/>
      <top style="medium">
        <color theme="4" tint="0.79998168889431442"/>
      </top>
      <bottom style="medium">
        <color theme="4" tint="0.79998168889431442"/>
      </bottom>
      <diagonal/>
    </border>
    <border>
      <left style="thin">
        <color theme="8" tint="0.79998168889431442"/>
      </left>
      <right style="thin">
        <color theme="8" tint="0.79998168889431442"/>
      </right>
      <top style="medium">
        <color theme="4" tint="0.79998168889431442"/>
      </top>
      <bottom/>
      <diagonal/>
    </border>
    <border>
      <left style="hair">
        <color theme="8" tint="0.79998168889431442"/>
      </left>
      <right/>
      <top style="medium">
        <color theme="4" tint="0.79998168889431442"/>
      </top>
      <bottom/>
      <diagonal/>
    </border>
    <border>
      <left/>
      <right style="hair">
        <color theme="8" tint="0.79998168889431442"/>
      </right>
      <top style="medium">
        <color theme="4" tint="0.79998168889431442"/>
      </top>
      <bottom/>
      <diagonal/>
    </border>
    <border>
      <left/>
      <right/>
      <top style="medium">
        <color theme="4" tint="0.79998168889431442"/>
      </top>
      <bottom/>
      <diagonal/>
    </border>
    <border>
      <left style="thin">
        <color theme="8" tint="0.79998168889431442"/>
      </left>
      <right/>
      <top style="medium">
        <color theme="4" tint="0.79998168889431442"/>
      </top>
      <bottom style="medium">
        <color theme="4" tint="0.79998168889431442"/>
      </bottom>
      <diagonal/>
    </border>
    <border>
      <left/>
      <right style="thin">
        <color theme="8" tint="0.79998168889431442"/>
      </right>
      <top style="medium">
        <color theme="4" tint="0.79998168889431442"/>
      </top>
      <bottom/>
      <diagonal/>
    </border>
    <border>
      <left style="thin">
        <color theme="8" tint="0.79998168889431442"/>
      </left>
      <right style="thin">
        <color theme="8" tint="0.79995117038483843"/>
      </right>
      <top style="medium">
        <color theme="4" tint="0.79998168889431442"/>
      </top>
      <bottom/>
      <diagonal/>
    </border>
    <border>
      <left style="thin">
        <color theme="8" tint="0.79998168889431442"/>
      </left>
      <right/>
      <top/>
      <bottom style="medium">
        <color theme="4" tint="0.79998168889431442"/>
      </bottom>
      <diagonal/>
    </border>
    <border>
      <left style="thin">
        <color theme="8" tint="0.79995117038483843"/>
      </left>
      <right/>
      <top style="medium">
        <color theme="4" tint="0.79998168889431442"/>
      </top>
      <bottom style="medium">
        <color theme="4" tint="0.79998168889431442"/>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bottom style="medium">
        <color rgb="FFDDEBF7"/>
      </bottom>
      <diagonal/>
    </border>
    <border>
      <left style="thin">
        <color theme="8" tint="0.79995117038483843"/>
      </left>
      <right/>
      <top/>
      <bottom style="medium">
        <color rgb="FFDDEBF7"/>
      </bottom>
      <diagonal/>
    </border>
  </borders>
  <cellStyleXfs count="32">
    <xf numFmtId="0" fontId="0"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cellStyleXfs>
  <cellXfs count="193">
    <xf numFmtId="0" fontId="0" fillId="0" borderId="0" xfId="0"/>
    <xf numFmtId="0" fontId="0" fillId="2" borderId="0" xfId="0" applyFill="1" applyAlignment="1" applyProtection="1">
      <alignment vertical="top"/>
    </xf>
    <xf numFmtId="0" fontId="1" fillId="2" borderId="0" xfId="0" applyFont="1" applyFill="1" applyBorder="1" applyAlignment="1" applyProtection="1">
      <alignment horizontal="left" vertical="top" wrapText="1"/>
    </xf>
    <xf numFmtId="0" fontId="2" fillId="2" borderId="0" xfId="0" applyFont="1" applyFill="1" applyBorder="1" applyAlignment="1" applyProtection="1">
      <alignment vertical="top" wrapText="1"/>
    </xf>
    <xf numFmtId="0" fontId="3" fillId="2" borderId="0" xfId="0" applyFont="1" applyFill="1" applyBorder="1" applyAlignment="1" applyProtection="1">
      <alignment vertical="top" wrapText="1"/>
    </xf>
    <xf numFmtId="0" fontId="0" fillId="0" borderId="0" xfId="0" applyAlignment="1" applyProtection="1">
      <alignment vertical="top"/>
    </xf>
    <xf numFmtId="0" fontId="0" fillId="0" borderId="1" xfId="0" applyBorder="1" applyAlignment="1">
      <alignment wrapText="1"/>
    </xf>
    <xf numFmtId="0" fontId="0" fillId="0" borderId="2" xfId="0" applyBorder="1" applyAlignment="1">
      <alignment wrapText="1"/>
    </xf>
    <xf numFmtId="0" fontId="6" fillId="3" borderId="0" xfId="0" applyFont="1" applyFill="1" applyBorder="1" applyAlignment="1" applyProtection="1">
      <alignment horizontal="right" vertical="top" wrapText="1"/>
    </xf>
    <xf numFmtId="0" fontId="7" fillId="2" borderId="0" xfId="0" applyFont="1" applyFill="1" applyBorder="1" applyAlignment="1" applyProtection="1">
      <alignment horizontal="left" vertical="top" wrapText="1"/>
    </xf>
    <xf numFmtId="0" fontId="9" fillId="0" borderId="1" xfId="0" applyFont="1" applyBorder="1" applyAlignment="1">
      <alignment wrapText="1"/>
    </xf>
    <xf numFmtId="0" fontId="10" fillId="2" borderId="0" xfId="0" applyFont="1" applyFill="1" applyBorder="1" applyAlignment="1" applyProtection="1">
      <alignment horizontal="left" vertical="top" wrapText="1"/>
    </xf>
    <xf numFmtId="0" fontId="11" fillId="2" borderId="0" xfId="0" applyFont="1" applyFill="1" applyBorder="1" applyAlignment="1" applyProtection="1">
      <alignment horizontal="left" vertical="top" wrapText="1"/>
    </xf>
    <xf numFmtId="0" fontId="3" fillId="2" borderId="0" xfId="0" applyFont="1" applyFill="1" applyBorder="1" applyAlignment="1" applyProtection="1">
      <alignment horizontal="right" vertical="top" wrapText="1"/>
    </xf>
    <xf numFmtId="0" fontId="2" fillId="0" borderId="4" xfId="0" applyFont="1" applyBorder="1" applyAlignment="1" applyProtection="1">
      <alignment horizontal="left" vertical="top" wrapText="1"/>
      <protection locked="0"/>
    </xf>
    <xf numFmtId="0" fontId="2" fillId="2" borderId="0" xfId="0" applyFont="1" applyFill="1" applyBorder="1" applyAlignment="1" applyProtection="1">
      <alignment horizontal="right" vertical="top" wrapText="1"/>
    </xf>
    <xf numFmtId="49" fontId="2" fillId="0" borderId="5" xfId="0" applyNumberFormat="1" applyFont="1" applyBorder="1" applyAlignment="1" applyProtection="1">
      <alignment horizontal="left" vertical="top" wrapText="1"/>
      <protection locked="0"/>
    </xf>
    <xf numFmtId="0" fontId="2" fillId="0" borderId="4" xfId="0" applyFont="1" applyBorder="1" applyAlignment="1" applyProtection="1">
      <alignment horizontal="left" vertical="center" wrapText="1"/>
      <protection locked="0"/>
    </xf>
    <xf numFmtId="0" fontId="14" fillId="2" borderId="0" xfId="0" applyFont="1" applyFill="1" applyBorder="1" applyAlignment="1" applyProtection="1">
      <alignment horizontal="right" vertical="top" wrapText="1"/>
    </xf>
    <xf numFmtId="0" fontId="2" fillId="0" borderId="0" xfId="0" applyFont="1" applyBorder="1" applyAlignment="1" applyProtection="1">
      <alignment vertical="top" wrapText="1"/>
      <protection locked="0"/>
    </xf>
    <xf numFmtId="0" fontId="2" fillId="0" borderId="0" xfId="0" applyFont="1" applyBorder="1" applyAlignment="1" applyProtection="1">
      <alignment horizontal="left" vertical="top" wrapText="1"/>
      <protection locked="0"/>
    </xf>
    <xf numFmtId="0" fontId="12" fillId="2" borderId="0" xfId="0" applyFont="1" applyFill="1" applyBorder="1" applyAlignment="1" applyProtection="1">
      <alignment horizontal="left" vertical="top" wrapText="1"/>
    </xf>
    <xf numFmtId="0" fontId="2" fillId="2" borderId="0" xfId="0" applyFont="1" applyFill="1" applyBorder="1" applyAlignment="1" applyProtection="1">
      <alignment wrapText="1"/>
    </xf>
    <xf numFmtId="0" fontId="9" fillId="0" borderId="2" xfId="0" applyFont="1" applyBorder="1" applyAlignment="1">
      <alignment wrapText="1"/>
    </xf>
    <xf numFmtId="3" fontId="3" fillId="0" borderId="0" xfId="0" applyNumberFormat="1" applyFont="1" applyFill="1" applyBorder="1" applyAlignment="1" applyProtection="1">
      <alignment vertical="top" wrapText="1"/>
      <protection locked="0"/>
    </xf>
    <xf numFmtId="3" fontId="3" fillId="0" borderId="0" xfId="0" applyNumberFormat="1" applyFont="1" applyFill="1" applyBorder="1" applyAlignment="1" applyProtection="1">
      <alignment horizontal="left" vertical="top" wrapText="1"/>
      <protection locked="0"/>
    </xf>
    <xf numFmtId="0" fontId="0" fillId="2" borderId="0" xfId="0" applyFill="1" applyBorder="1" applyAlignment="1" applyProtection="1">
      <alignment vertical="top"/>
    </xf>
    <xf numFmtId="0" fontId="1" fillId="2" borderId="0" xfId="0" applyFont="1" applyFill="1" applyBorder="1" applyAlignment="1" applyProtection="1">
      <alignment horizontal="right" vertical="top" wrapText="1"/>
    </xf>
    <xf numFmtId="0" fontId="3" fillId="0" borderId="3" xfId="0" applyFont="1" applyFill="1" applyBorder="1" applyAlignment="1" applyProtection="1">
      <alignment horizontal="left" vertical="top" wrapText="1"/>
      <protection locked="0"/>
    </xf>
    <xf numFmtId="0" fontId="20" fillId="2" borderId="0" xfId="0" applyFont="1" applyFill="1" applyBorder="1" applyAlignment="1" applyProtection="1">
      <alignment horizontal="left" vertical="top" wrapText="1"/>
    </xf>
    <xf numFmtId="0" fontId="20" fillId="2" borderId="0" xfId="0" applyFont="1" applyFill="1" applyBorder="1" applyAlignment="1" applyProtection="1">
      <alignment vertical="top" wrapText="1"/>
    </xf>
    <xf numFmtId="0" fontId="22" fillId="5" borderId="0" xfId="0" applyFont="1" applyFill="1" applyBorder="1" applyAlignment="1" applyProtection="1">
      <alignment horizontal="right" vertical="top"/>
    </xf>
    <xf numFmtId="164" fontId="3" fillId="0" borderId="0" xfId="0" applyNumberFormat="1" applyFont="1" applyFill="1" applyBorder="1" applyAlignment="1" applyProtection="1">
      <alignment vertical="top" wrapText="1"/>
      <protection locked="0"/>
    </xf>
    <xf numFmtId="165" fontId="3" fillId="0" borderId="0" xfId="0" applyNumberFormat="1" applyFont="1" applyFill="1" applyBorder="1" applyAlignment="1" applyProtection="1">
      <alignment vertical="top" wrapText="1"/>
      <protection locked="0"/>
    </xf>
    <xf numFmtId="0" fontId="1" fillId="2" borderId="0" xfId="0" applyFont="1" applyFill="1" applyBorder="1" applyAlignment="1" applyProtection="1">
      <alignment vertical="top" wrapText="1"/>
    </xf>
    <xf numFmtId="0" fontId="6" fillId="6" borderId="0" xfId="0" applyFont="1" applyFill="1" applyBorder="1" applyAlignment="1" applyProtection="1">
      <alignment horizontal="right" vertical="top" wrapText="1"/>
    </xf>
    <xf numFmtId="0" fontId="1" fillId="2" borderId="0" xfId="0" applyFont="1" applyFill="1" applyBorder="1" applyAlignment="1" applyProtection="1">
      <alignment horizontal="center" wrapText="1"/>
    </xf>
    <xf numFmtId="1" fontId="3" fillId="4" borderId="1" xfId="0" applyNumberFormat="1" applyFont="1" applyFill="1" applyBorder="1" applyAlignment="1" applyProtection="1">
      <alignment horizontal="center" vertical="center" wrapText="1"/>
      <protection locked="0"/>
    </xf>
    <xf numFmtId="3" fontId="3" fillId="4" borderId="1" xfId="0" applyNumberFormat="1" applyFont="1" applyFill="1" applyBorder="1" applyAlignment="1" applyProtection="1">
      <alignment horizontal="center" vertical="center"/>
      <protection locked="0"/>
    </xf>
    <xf numFmtId="3" fontId="3" fillId="4" borderId="1" xfId="0" applyNumberFormat="1" applyFont="1" applyFill="1" applyBorder="1" applyAlignment="1" applyProtection="1">
      <alignment horizontal="center" vertical="center" wrapText="1"/>
      <protection locked="0"/>
    </xf>
    <xf numFmtId="0" fontId="3" fillId="4" borderId="0" xfId="0" applyFont="1" applyFill="1" applyBorder="1" applyAlignment="1" applyProtection="1">
      <alignment horizontal="right" vertical="top" wrapText="1"/>
    </xf>
    <xf numFmtId="0" fontId="1" fillId="4" borderId="0" xfId="0" applyFont="1" applyFill="1" applyBorder="1" applyAlignment="1" applyProtection="1">
      <alignment horizontal="left" vertical="top" wrapText="1"/>
    </xf>
    <xf numFmtId="0" fontId="2" fillId="4" borderId="0" xfId="0" applyFont="1" applyFill="1" applyBorder="1" applyAlignment="1" applyProtection="1">
      <alignment vertical="top" wrapText="1"/>
    </xf>
    <xf numFmtId="0" fontId="3" fillId="4" borderId="0" xfId="0" applyFont="1" applyFill="1" applyBorder="1" applyAlignment="1" applyProtection="1">
      <alignment vertical="top" wrapText="1"/>
    </xf>
    <xf numFmtId="0" fontId="6" fillId="7" borderId="0" xfId="0" applyFont="1" applyFill="1" applyBorder="1" applyAlignment="1" applyProtection="1">
      <alignment horizontal="right" vertical="top" wrapText="1"/>
    </xf>
    <xf numFmtId="0" fontId="24" fillId="2" borderId="0" xfId="0" applyFont="1" applyFill="1" applyBorder="1" applyAlignment="1" applyProtection="1">
      <alignment horizontal="left" vertical="top" wrapText="1"/>
    </xf>
    <xf numFmtId="0" fontId="25" fillId="2" borderId="0" xfId="0" applyFont="1" applyFill="1" applyBorder="1" applyAlignment="1" applyProtection="1">
      <alignment horizontal="center" vertical="top" wrapText="1"/>
    </xf>
    <xf numFmtId="0" fontId="24" fillId="0" borderId="20" xfId="0" applyFont="1" applyFill="1" applyBorder="1" applyAlignment="1" applyProtection="1">
      <alignment horizontal="center" vertical="center" wrapText="1"/>
      <protection locked="0"/>
    </xf>
    <xf numFmtId="0" fontId="24" fillId="0" borderId="21" xfId="0" applyFont="1" applyFill="1" applyBorder="1" applyAlignment="1" applyProtection="1">
      <alignment horizontal="center" vertical="center" wrapText="1"/>
      <protection locked="0"/>
    </xf>
    <xf numFmtId="0" fontId="2" fillId="2" borderId="0" xfId="0" applyFont="1" applyFill="1" applyBorder="1" applyAlignment="1" applyProtection="1">
      <alignment horizontal="center" vertical="top" wrapText="1"/>
    </xf>
    <xf numFmtId="0" fontId="3" fillId="2" borderId="0" xfId="0" applyFont="1" applyFill="1" applyBorder="1" applyAlignment="1" applyProtection="1">
      <alignment horizontal="center" vertical="top" wrapText="1"/>
    </xf>
    <xf numFmtId="0" fontId="6" fillId="8" borderId="0" xfId="0" applyFont="1" applyFill="1" applyBorder="1" applyAlignment="1" applyProtection="1">
      <alignment horizontal="right" vertical="top" wrapText="1"/>
    </xf>
    <xf numFmtId="0" fontId="2" fillId="2" borderId="0" xfId="0" applyFont="1" applyFill="1" applyBorder="1" applyAlignment="1" applyProtection="1">
      <alignment horizontal="center" vertical="center" wrapText="1"/>
    </xf>
    <xf numFmtId="0" fontId="3" fillId="2" borderId="0" xfId="0" applyFont="1" applyFill="1" applyBorder="1" applyAlignment="1" applyProtection="1">
      <alignment horizontal="center" vertical="center" wrapText="1"/>
    </xf>
    <xf numFmtId="0" fontId="26" fillId="2" borderId="0" xfId="0" applyFont="1" applyFill="1" applyBorder="1" applyAlignment="1" applyProtection="1">
      <alignment horizontal="right" vertical="top" wrapText="1"/>
    </xf>
    <xf numFmtId="0" fontId="6" fillId="9" borderId="0" xfId="0" applyFont="1" applyFill="1" applyBorder="1" applyAlignment="1" applyProtection="1">
      <alignment horizontal="right" vertical="top" wrapText="1"/>
    </xf>
    <xf numFmtId="0" fontId="10" fillId="2" borderId="0" xfId="0" applyFont="1" applyFill="1" applyBorder="1" applyAlignment="1" applyProtection="1">
      <alignment horizontal="left" vertical="center" wrapText="1"/>
    </xf>
    <xf numFmtId="0" fontId="25" fillId="2" borderId="0" xfId="0" applyFont="1" applyFill="1" applyBorder="1" applyAlignment="1" applyProtection="1">
      <alignment horizontal="center" wrapText="1"/>
    </xf>
    <xf numFmtId="0" fontId="0" fillId="2" borderId="0" xfId="0" applyFill="1" applyAlignment="1" applyProtection="1">
      <alignment horizontal="center" vertical="top"/>
    </xf>
    <xf numFmtId="0" fontId="1" fillId="2" borderId="0" xfId="0" applyFont="1" applyFill="1" applyBorder="1" applyAlignment="1" applyProtection="1">
      <alignment horizontal="right" vertical="center" wrapText="1"/>
    </xf>
    <xf numFmtId="4" fontId="3" fillId="4" borderId="1" xfId="0" applyNumberFormat="1" applyFont="1" applyFill="1" applyBorder="1" applyAlignment="1" applyProtection="1">
      <alignment horizontal="center" vertical="center"/>
      <protection locked="0"/>
    </xf>
    <xf numFmtId="4" fontId="3" fillId="4" borderId="1" xfId="0" applyNumberFormat="1" applyFont="1" applyFill="1" applyBorder="1" applyAlignment="1" applyProtection="1">
      <alignment horizontal="center" vertical="center" wrapText="1"/>
      <protection locked="0"/>
    </xf>
    <xf numFmtId="1" fontId="3" fillId="4" borderId="23" xfId="0" applyNumberFormat="1" applyFont="1" applyFill="1" applyBorder="1" applyAlignment="1" applyProtection="1">
      <alignment horizontal="center" vertical="center" wrapText="1"/>
      <protection locked="0"/>
    </xf>
    <xf numFmtId="4" fontId="3" fillId="4" borderId="23" xfId="0" applyNumberFormat="1" applyFont="1" applyFill="1" applyBorder="1" applyAlignment="1" applyProtection="1">
      <alignment horizontal="center" vertical="center"/>
      <protection locked="0"/>
    </xf>
    <xf numFmtId="4" fontId="3" fillId="4" borderId="23" xfId="0" applyNumberFormat="1" applyFont="1" applyFill="1" applyBorder="1" applyAlignment="1" applyProtection="1">
      <alignment horizontal="center" vertical="center" wrapText="1"/>
      <protection locked="0"/>
    </xf>
    <xf numFmtId="4" fontId="30" fillId="2" borderId="25" xfId="0" applyNumberFormat="1" applyFont="1" applyFill="1" applyBorder="1" applyAlignment="1" applyProtection="1">
      <alignment horizontal="right" vertical="top" wrapText="1"/>
    </xf>
    <xf numFmtId="0" fontId="30" fillId="2" borderId="25" xfId="0" applyFont="1" applyFill="1" applyBorder="1" applyAlignment="1" applyProtection="1">
      <alignment horizontal="right" vertical="top" wrapText="1"/>
    </xf>
    <xf numFmtId="0" fontId="30" fillId="2" borderId="26" xfId="0" applyFont="1" applyFill="1" applyBorder="1" applyAlignment="1" applyProtection="1">
      <alignment horizontal="right" vertical="top" wrapText="1"/>
    </xf>
    <xf numFmtId="0" fontId="21" fillId="10" borderId="0" xfId="0" applyFont="1" applyFill="1" applyBorder="1" applyAlignment="1" applyProtection="1">
      <alignment horizontal="right" vertical="top" wrapText="1"/>
    </xf>
    <xf numFmtId="0" fontId="0" fillId="2" borderId="0" xfId="0" applyFill="1" applyBorder="1" applyAlignment="1" applyProtection="1">
      <alignment horizontal="left" vertical="top"/>
    </xf>
    <xf numFmtId="0" fontId="32" fillId="2" borderId="0" xfId="0" applyFont="1" applyFill="1" applyBorder="1" applyAlignment="1" applyProtection="1">
      <alignment horizontal="left" vertical="top"/>
    </xf>
    <xf numFmtId="0" fontId="33" fillId="2" borderId="0" xfId="0" applyFont="1" applyFill="1" applyBorder="1" applyAlignment="1" applyProtection="1">
      <alignment horizontal="left"/>
    </xf>
    <xf numFmtId="0" fontId="33" fillId="2" borderId="0" xfId="0" applyFont="1" applyFill="1" applyBorder="1" applyAlignment="1" applyProtection="1">
      <alignment horizontal="center"/>
    </xf>
    <xf numFmtId="0" fontId="33" fillId="2" borderId="0" xfId="0" applyFont="1" applyFill="1" applyBorder="1" applyAlignment="1" applyProtection="1">
      <alignment horizontal="center" wrapText="1"/>
    </xf>
    <xf numFmtId="0" fontId="34" fillId="0" borderId="27" xfId="0" applyFont="1" applyBorder="1" applyAlignment="1" applyProtection="1">
      <alignment horizontal="left" vertical="top" wrapText="1"/>
      <protection locked="0"/>
    </xf>
    <xf numFmtId="0" fontId="34" fillId="0" borderId="28" xfId="0" applyFont="1" applyBorder="1" applyAlignment="1" applyProtection="1">
      <alignment horizontal="center" vertical="top" wrapText="1"/>
      <protection locked="0"/>
    </xf>
    <xf numFmtId="164" fontId="34" fillId="0" borderId="31" xfId="0" applyNumberFormat="1" applyFont="1" applyBorder="1" applyAlignment="1" applyProtection="1">
      <alignment horizontal="center" vertical="top" wrapText="1"/>
      <protection locked="0"/>
    </xf>
    <xf numFmtId="0" fontId="34" fillId="0" borderId="33" xfId="0" applyFont="1" applyBorder="1" applyAlignment="1" applyProtection="1">
      <alignment horizontal="left" vertical="top" wrapText="1"/>
      <protection locked="0"/>
    </xf>
    <xf numFmtId="0" fontId="34" fillId="0" borderId="34" xfId="0" applyFont="1" applyBorder="1" applyAlignment="1" applyProtection="1">
      <alignment horizontal="center" vertical="top" wrapText="1"/>
      <protection locked="0"/>
    </xf>
    <xf numFmtId="164" fontId="34" fillId="0" borderId="37" xfId="0" applyNumberFormat="1" applyFont="1" applyBorder="1" applyAlignment="1" applyProtection="1">
      <alignment horizontal="center" vertical="top" wrapText="1"/>
      <protection locked="0"/>
    </xf>
    <xf numFmtId="0" fontId="34" fillId="0" borderId="44" xfId="0" applyFont="1" applyBorder="1" applyAlignment="1" applyProtection="1">
      <alignment horizontal="left" vertical="top" wrapText="1"/>
      <protection locked="0"/>
    </xf>
    <xf numFmtId="0" fontId="34" fillId="0" borderId="39" xfId="0" applyFont="1" applyBorder="1" applyAlignment="1" applyProtection="1">
      <alignment horizontal="center" vertical="top" wrapText="1"/>
      <protection locked="0"/>
    </xf>
    <xf numFmtId="164" fontId="34" fillId="0" borderId="45" xfId="0" applyNumberFormat="1" applyFont="1" applyBorder="1" applyAlignment="1" applyProtection="1">
      <alignment horizontal="center" vertical="top" wrapText="1"/>
      <protection locked="0"/>
    </xf>
    <xf numFmtId="0" fontId="0" fillId="2" borderId="0" xfId="0" applyFill="1" applyAlignment="1" applyProtection="1">
      <alignment horizontal="left" vertical="top"/>
    </xf>
    <xf numFmtId="0" fontId="34" fillId="2" borderId="0" xfId="0" applyFont="1" applyFill="1" applyAlignment="1" applyProtection="1">
      <alignment horizontal="center" vertical="top"/>
    </xf>
    <xf numFmtId="0" fontId="34" fillId="0" borderId="39" xfId="0" applyFont="1" applyBorder="1" applyAlignment="1" applyProtection="1">
      <alignment horizontal="left" vertical="top" wrapText="1"/>
      <protection locked="0"/>
    </xf>
    <xf numFmtId="0" fontId="34" fillId="0" borderId="40" xfId="0" applyFont="1" applyBorder="1" applyAlignment="1" applyProtection="1">
      <alignment horizontal="center" vertical="top" wrapText="1"/>
      <protection locked="0"/>
    </xf>
    <xf numFmtId="0" fontId="34" fillId="0" borderId="41" xfId="0" applyFont="1" applyBorder="1" applyAlignment="1" applyProtection="1">
      <alignment horizontal="center" vertical="top" wrapText="1"/>
      <protection locked="0"/>
    </xf>
    <xf numFmtId="0" fontId="34" fillId="0" borderId="42" xfId="0" applyFont="1" applyBorder="1" applyAlignment="1" applyProtection="1">
      <alignment horizontal="left" vertical="top" wrapText="1"/>
      <protection locked="0"/>
    </xf>
    <xf numFmtId="0" fontId="0" fillId="0" borderId="0" xfId="0" applyAlignment="1" applyProtection="1">
      <alignment horizontal="left" vertical="top"/>
    </xf>
    <xf numFmtId="0" fontId="33" fillId="2" borderId="0" xfId="0" applyFont="1" applyFill="1" applyBorder="1" applyAlignment="1" applyProtection="1">
      <alignment horizontal="center" wrapText="1"/>
    </xf>
    <xf numFmtId="0" fontId="34" fillId="0" borderId="33" xfId="0" applyFont="1" applyBorder="1" applyAlignment="1" applyProtection="1">
      <alignment horizontal="left" vertical="top" wrapText="1"/>
      <protection locked="0"/>
    </xf>
    <xf numFmtId="0" fontId="0" fillId="0" borderId="0" xfId="0"/>
    <xf numFmtId="0" fontId="34" fillId="0" borderId="33" xfId="0" applyFont="1" applyBorder="1" applyAlignment="1" applyProtection="1">
      <alignment horizontal="left" vertical="top" wrapText="1"/>
      <protection locked="0"/>
    </xf>
    <xf numFmtId="0" fontId="34" fillId="0" borderId="27" xfId="0" applyFont="1" applyBorder="1" applyAlignment="1" applyProtection="1">
      <alignment horizontal="left" vertical="top" wrapText="1"/>
      <protection locked="0"/>
    </xf>
    <xf numFmtId="0" fontId="2" fillId="0" borderId="3" xfId="0" applyFont="1" applyBorder="1" applyAlignment="1" applyProtection="1">
      <alignment horizontal="left" vertical="center" wrapText="1"/>
      <protection locked="0"/>
    </xf>
    <xf numFmtId="0" fontId="2" fillId="0" borderId="4" xfId="0" applyFont="1" applyBorder="1" applyAlignment="1" applyProtection="1">
      <alignment horizontal="left" vertical="center" wrapText="1"/>
      <protection locked="0"/>
    </xf>
    <xf numFmtId="0" fontId="2" fillId="0" borderId="3" xfId="0" applyFont="1" applyBorder="1" applyAlignment="1" applyProtection="1">
      <alignment horizontal="left" vertical="top" wrapText="1"/>
      <protection locked="0"/>
    </xf>
    <xf numFmtId="0" fontId="34" fillId="0" borderId="39" xfId="0" applyFont="1" applyBorder="1" applyAlignment="1" applyProtection="1">
      <alignment horizontal="left" vertical="top" wrapText="1"/>
      <protection locked="0"/>
    </xf>
    <xf numFmtId="0" fontId="34" fillId="0" borderId="35" xfId="0" applyFont="1" applyBorder="1" applyAlignment="1" applyProtection="1">
      <alignment horizontal="center" vertical="top" wrapText="1"/>
      <protection locked="0"/>
    </xf>
    <xf numFmtId="0" fontId="34" fillId="0" borderId="36" xfId="0" applyFont="1" applyBorder="1" applyAlignment="1" applyProtection="1">
      <alignment horizontal="center" vertical="top" wrapText="1"/>
      <protection locked="0"/>
    </xf>
    <xf numFmtId="0" fontId="34" fillId="0" borderId="42" xfId="0" applyFont="1" applyBorder="1" applyAlignment="1" applyProtection="1">
      <alignment horizontal="left" vertical="top" wrapText="1"/>
      <protection locked="0"/>
    </xf>
    <xf numFmtId="0" fontId="34" fillId="0" borderId="34" xfId="0" applyFont="1" applyBorder="1" applyAlignment="1" applyProtection="1">
      <alignment horizontal="left" vertical="top" wrapText="1"/>
      <protection locked="0"/>
    </xf>
    <xf numFmtId="0" fontId="34" fillId="0" borderId="32" xfId="0" applyFont="1" applyBorder="1" applyAlignment="1" applyProtection="1">
      <alignment horizontal="left" vertical="top" wrapText="1"/>
      <protection locked="0"/>
    </xf>
    <xf numFmtId="0" fontId="34" fillId="0" borderId="38" xfId="0" applyFont="1" applyBorder="1" applyAlignment="1" applyProtection="1">
      <alignment horizontal="left" vertical="top" wrapText="1"/>
      <protection locked="0"/>
    </xf>
    <xf numFmtId="0" fontId="35" fillId="0" borderId="48" xfId="0" applyFont="1" applyFill="1" applyBorder="1" applyAlignment="1" applyProtection="1">
      <alignment horizontal="justify" wrapText="1"/>
    </xf>
    <xf numFmtId="0" fontId="36" fillId="0" borderId="49" xfId="0" applyFont="1" applyFill="1" applyBorder="1" applyAlignment="1" applyProtection="1">
      <alignment wrapText="1"/>
    </xf>
    <xf numFmtId="0" fontId="36" fillId="0" borderId="50" xfId="0" applyFont="1" applyFill="1" applyBorder="1" applyAlignment="1" applyProtection="1">
      <alignment wrapText="1"/>
    </xf>
    <xf numFmtId="0" fontId="35" fillId="0" borderId="51" xfId="0" applyFont="1" applyFill="1" applyBorder="1" applyAlignment="1" applyProtection="1">
      <alignment horizontal="justify" wrapText="1"/>
    </xf>
    <xf numFmtId="0" fontId="36" fillId="0" borderId="0" xfId="0" applyFont="1" applyFill="1" applyBorder="1" applyAlignment="1" applyProtection="1">
      <alignment wrapText="1"/>
    </xf>
    <xf numFmtId="0" fontId="36" fillId="0" borderId="52" xfId="0" applyFont="1" applyFill="1" applyBorder="1" applyAlignment="1" applyProtection="1">
      <alignment wrapText="1"/>
    </xf>
    <xf numFmtId="0" fontId="35" fillId="0" borderId="53" xfId="0" applyFont="1" applyFill="1" applyBorder="1" applyAlignment="1" applyProtection="1">
      <alignment horizontal="justify" wrapText="1"/>
    </xf>
    <xf numFmtId="0" fontId="36" fillId="0" borderId="54" xfId="0" applyFont="1" applyFill="1" applyBorder="1" applyAlignment="1" applyProtection="1">
      <alignment wrapText="1"/>
    </xf>
    <xf numFmtId="0" fontId="36" fillId="0" borderId="55" xfId="0" applyFont="1" applyFill="1" applyBorder="1" applyAlignment="1" applyProtection="1">
      <alignment wrapText="1"/>
    </xf>
    <xf numFmtId="0" fontId="34" fillId="0" borderId="40" xfId="0" applyFont="1" applyBorder="1" applyAlignment="1" applyProtection="1">
      <alignment horizontal="center" vertical="top" wrapText="1"/>
      <protection locked="0"/>
    </xf>
    <xf numFmtId="0" fontId="34" fillId="0" borderId="41" xfId="0" applyFont="1" applyBorder="1" applyAlignment="1" applyProtection="1">
      <alignment horizontal="center" vertical="top" wrapText="1"/>
      <protection locked="0"/>
    </xf>
    <xf numFmtId="0" fontId="34" fillId="0" borderId="28" xfId="0" applyFont="1" applyBorder="1" applyAlignment="1" applyProtection="1">
      <alignment horizontal="left" vertical="top" wrapText="1"/>
      <protection locked="0"/>
    </xf>
    <xf numFmtId="0" fontId="34" fillId="0" borderId="29" xfId="0" applyFont="1" applyBorder="1" applyAlignment="1" applyProtection="1">
      <alignment horizontal="center" vertical="top" wrapText="1"/>
      <protection locked="0"/>
    </xf>
    <xf numFmtId="0" fontId="34" fillId="0" borderId="30" xfId="0" applyFont="1" applyBorder="1" applyAlignment="1" applyProtection="1">
      <alignment horizontal="center" vertical="top" wrapText="1"/>
      <protection locked="0"/>
    </xf>
    <xf numFmtId="0" fontId="31" fillId="5" borderId="0" xfId="0" applyFont="1" applyFill="1" applyBorder="1" applyAlignment="1" applyProtection="1">
      <alignment horizontal="center" vertical="top"/>
    </xf>
    <xf numFmtId="0" fontId="33" fillId="2" borderId="0" xfId="0" applyFont="1" applyFill="1" applyBorder="1" applyAlignment="1" applyProtection="1">
      <alignment horizontal="center" wrapText="1"/>
    </xf>
    <xf numFmtId="0" fontId="41" fillId="0" borderId="57" xfId="0" applyFont="1" applyBorder="1" applyAlignment="1" applyProtection="1">
      <alignment horizontal="left" vertical="top" wrapText="1"/>
      <protection locked="0"/>
    </xf>
    <xf numFmtId="0" fontId="41" fillId="0" borderId="56" xfId="0" applyFont="1" applyBorder="1" applyAlignment="1" applyProtection="1">
      <alignment horizontal="left" vertical="top" wrapText="1"/>
      <protection locked="0"/>
    </xf>
    <xf numFmtId="0" fontId="34" fillId="0" borderId="43" xfId="0" applyFont="1" applyBorder="1" applyAlignment="1" applyProtection="1">
      <alignment horizontal="left" vertical="top" wrapText="1"/>
      <protection locked="0"/>
    </xf>
    <xf numFmtId="0" fontId="34" fillId="0" borderId="33" xfId="0" applyFont="1" applyBorder="1" applyAlignment="1" applyProtection="1">
      <alignment horizontal="left" vertical="top" wrapText="1"/>
      <protection locked="0"/>
    </xf>
    <xf numFmtId="0" fontId="34" fillId="0" borderId="43" xfId="0" applyFont="1" applyBorder="1" applyAlignment="1" applyProtection="1">
      <alignment horizontal="center" vertical="top" wrapText="1"/>
      <protection locked="0"/>
    </xf>
    <xf numFmtId="0" fontId="34" fillId="0" borderId="33" xfId="0" applyFont="1" applyBorder="1" applyAlignment="1" applyProtection="1">
      <alignment horizontal="center" vertical="top" wrapText="1"/>
      <protection locked="0"/>
    </xf>
    <xf numFmtId="0" fontId="34" fillId="0" borderId="47" xfId="0" applyFont="1" applyBorder="1" applyAlignment="1" applyProtection="1">
      <alignment horizontal="left" vertical="top" wrapText="1"/>
      <protection locked="0"/>
    </xf>
    <xf numFmtId="0" fontId="34" fillId="0" borderId="46" xfId="0" applyFont="1" applyBorder="1" applyAlignment="1" applyProtection="1">
      <alignment horizontal="left" vertical="top" wrapText="1"/>
      <protection locked="0"/>
    </xf>
    <xf numFmtId="0" fontId="34" fillId="0" borderId="27" xfId="0" applyFont="1" applyBorder="1" applyAlignment="1" applyProtection="1">
      <alignment horizontal="left" vertical="top" wrapText="1"/>
      <protection locked="0"/>
    </xf>
    <xf numFmtId="0" fontId="21" fillId="10" borderId="0" xfId="0" applyFont="1" applyFill="1" applyBorder="1" applyAlignment="1" applyProtection="1">
      <alignment horizontal="left" vertical="top" wrapText="1"/>
    </xf>
    <xf numFmtId="0" fontId="28" fillId="2" borderId="0" xfId="0" applyFont="1" applyFill="1" applyBorder="1" applyAlignment="1" applyProtection="1">
      <alignment horizontal="center" vertical="top" wrapText="1"/>
    </xf>
    <xf numFmtId="0" fontId="30" fillId="2" borderId="24" xfId="0" applyFont="1" applyFill="1" applyBorder="1" applyAlignment="1" applyProtection="1">
      <alignment horizontal="center" vertical="top" wrapText="1"/>
    </xf>
    <xf numFmtId="0" fontId="30" fillId="2" borderId="25" xfId="0" applyFont="1" applyFill="1" applyBorder="1" applyAlignment="1" applyProtection="1">
      <alignment horizontal="center" vertical="top" wrapText="1"/>
    </xf>
    <xf numFmtId="0" fontId="3" fillId="2" borderId="0" xfId="0" applyFont="1" applyFill="1" applyBorder="1" applyAlignment="1" applyProtection="1">
      <alignment horizontal="center" vertical="top" wrapText="1"/>
    </xf>
    <xf numFmtId="0" fontId="12" fillId="4" borderId="0" xfId="0" applyFont="1" applyFill="1" applyBorder="1" applyAlignment="1" applyProtection="1">
      <alignment horizontal="left" vertical="top" wrapText="1"/>
    </xf>
    <xf numFmtId="0" fontId="23" fillId="4" borderId="0" xfId="0" applyFont="1" applyFill="1" applyBorder="1" applyAlignment="1" applyProtection="1">
      <alignment horizontal="left" vertical="top" wrapText="1"/>
    </xf>
    <xf numFmtId="0" fontId="24" fillId="2" borderId="0" xfId="0" applyFont="1" applyFill="1" applyBorder="1" applyAlignment="1" applyProtection="1">
      <alignment horizontal="left" vertical="top" wrapText="1"/>
    </xf>
    <xf numFmtId="0" fontId="24" fillId="0" borderId="21" xfId="0" applyFont="1" applyFill="1" applyBorder="1" applyAlignment="1" applyProtection="1">
      <alignment horizontal="left" vertical="top" wrapText="1"/>
      <protection locked="0"/>
    </xf>
    <xf numFmtId="0" fontId="24" fillId="0" borderId="22" xfId="0" applyFont="1" applyFill="1" applyBorder="1" applyAlignment="1" applyProtection="1">
      <alignment horizontal="left" vertical="top" wrapText="1"/>
      <protection locked="0"/>
    </xf>
    <xf numFmtId="0" fontId="12" fillId="2" borderId="0" xfId="0" applyFont="1" applyFill="1" applyBorder="1" applyAlignment="1" applyProtection="1">
      <alignment horizontal="left" vertical="top" wrapText="1"/>
    </xf>
    <xf numFmtId="0" fontId="24" fillId="2" borderId="0" xfId="0" applyFont="1" applyFill="1" applyBorder="1" applyAlignment="1" applyProtection="1">
      <alignment horizontal="left" vertical="top" wrapText="1" indent="3"/>
    </xf>
    <xf numFmtId="0" fontId="10" fillId="2" borderId="0" xfId="0" applyFont="1" applyFill="1" applyBorder="1" applyAlignment="1" applyProtection="1">
      <alignment horizontal="left" vertical="top" wrapText="1"/>
    </xf>
    <xf numFmtId="3" fontId="24" fillId="0" borderId="21" xfId="0" applyNumberFormat="1" applyFont="1" applyFill="1" applyBorder="1" applyAlignment="1" applyProtection="1">
      <alignment horizontal="left" vertical="top" wrapText="1"/>
      <protection locked="0"/>
    </xf>
    <xf numFmtId="0" fontId="26" fillId="0" borderId="5" xfId="0" applyFont="1" applyFill="1" applyBorder="1" applyAlignment="1" applyProtection="1">
      <alignment horizontal="left" vertical="top" wrapText="1"/>
      <protection locked="0"/>
    </xf>
    <xf numFmtId="0" fontId="6" fillId="9" borderId="0" xfId="0" applyFont="1" applyFill="1" applyBorder="1" applyAlignment="1" applyProtection="1">
      <alignment horizontal="left" vertical="top" wrapText="1"/>
    </xf>
    <xf numFmtId="0" fontId="25" fillId="2" borderId="0" xfId="0" applyFont="1" applyFill="1" applyBorder="1" applyAlignment="1" applyProtection="1">
      <alignment horizontal="left" wrapText="1"/>
    </xf>
    <xf numFmtId="0" fontId="25" fillId="2" borderId="0" xfId="0" applyFont="1" applyFill="1" applyBorder="1" applyAlignment="1" applyProtection="1">
      <alignment horizontal="left" vertical="top" wrapText="1"/>
    </xf>
    <xf numFmtId="0" fontId="26" fillId="0" borderId="3" xfId="0" applyFont="1" applyFill="1" applyBorder="1" applyAlignment="1" applyProtection="1">
      <alignment horizontal="left" vertical="top" wrapText="1"/>
      <protection locked="0"/>
    </xf>
    <xf numFmtId="0" fontId="26" fillId="0" borderId="4" xfId="0" applyFont="1" applyFill="1" applyBorder="1" applyAlignment="1" applyProtection="1">
      <alignment horizontal="left" vertical="top" wrapText="1"/>
      <protection locked="0"/>
    </xf>
    <xf numFmtId="0" fontId="6" fillId="8" borderId="0" xfId="0" applyFont="1" applyFill="1" applyBorder="1" applyAlignment="1" applyProtection="1">
      <alignment horizontal="left" vertical="top" wrapText="1"/>
    </xf>
    <xf numFmtId="0" fontId="6" fillId="7" borderId="0" xfId="0" applyFont="1" applyFill="1" applyBorder="1" applyAlignment="1" applyProtection="1">
      <alignment horizontal="left" vertical="top" wrapText="1"/>
    </xf>
    <xf numFmtId="0" fontId="3" fillId="0" borderId="0" xfId="0" applyFont="1" applyFill="1" applyBorder="1" applyAlignment="1" applyProtection="1">
      <alignment horizontal="left" vertical="top" wrapText="1"/>
      <protection locked="0"/>
    </xf>
    <xf numFmtId="0" fontId="3" fillId="0" borderId="3" xfId="0" applyFont="1" applyFill="1" applyBorder="1" applyAlignment="1" applyProtection="1">
      <alignment horizontal="left" vertical="top" wrapText="1"/>
      <protection locked="0"/>
    </xf>
    <xf numFmtId="0" fontId="6" fillId="6" borderId="0" xfId="0" applyFont="1" applyFill="1" applyBorder="1" applyAlignment="1" applyProtection="1">
      <alignment horizontal="left" vertical="top" wrapText="1"/>
    </xf>
    <xf numFmtId="0" fontId="21" fillId="5" borderId="0" xfId="0" applyFont="1" applyFill="1" applyBorder="1" applyAlignment="1" applyProtection="1">
      <alignment vertical="top" wrapText="1"/>
    </xf>
    <xf numFmtId="0" fontId="14" fillId="2" borderId="0" xfId="0" applyFont="1" applyFill="1" applyBorder="1" applyAlignment="1" applyProtection="1">
      <alignment horizontal="left" vertical="top" wrapText="1"/>
    </xf>
    <xf numFmtId="0" fontId="0" fillId="0" borderId="18" xfId="0" applyBorder="1" applyAlignment="1" applyProtection="1">
      <alignment horizontal="center" vertical="top"/>
      <protection locked="0"/>
    </xf>
    <xf numFmtId="0" fontId="0" fillId="0" borderId="19" xfId="0" applyBorder="1" applyAlignment="1" applyProtection="1">
      <alignment horizontal="center" vertical="top"/>
      <protection locked="0"/>
    </xf>
    <xf numFmtId="0" fontId="0" fillId="0" borderId="17" xfId="0" applyBorder="1" applyAlignment="1" applyProtection="1">
      <alignment horizontal="center" vertical="top"/>
      <protection locked="0"/>
    </xf>
    <xf numFmtId="0" fontId="12" fillId="2" borderId="0" xfId="0" applyFont="1" applyFill="1" applyBorder="1" applyAlignment="1" applyProtection="1">
      <alignment vertical="top" wrapText="1"/>
    </xf>
    <xf numFmtId="0" fontId="3" fillId="2" borderId="0" xfId="0" applyFont="1" applyFill="1" applyBorder="1" applyAlignment="1" applyProtection="1">
      <alignment horizontal="left" vertical="top" wrapText="1"/>
    </xf>
    <xf numFmtId="0" fontId="0" fillId="4" borderId="6" xfId="0" applyFill="1" applyBorder="1" applyAlignment="1" applyProtection="1">
      <alignment horizontal="left" vertical="top"/>
      <protection locked="0"/>
    </xf>
    <xf numFmtId="0" fontId="0" fillId="4" borderId="7" xfId="0" applyFill="1" applyBorder="1" applyAlignment="1" applyProtection="1">
      <alignment horizontal="left" vertical="top"/>
      <protection locked="0"/>
    </xf>
    <xf numFmtId="0" fontId="3" fillId="0" borderId="7" xfId="0" applyFont="1" applyFill="1" applyBorder="1" applyAlignment="1" applyProtection="1">
      <alignment horizontal="left" vertical="top" wrapText="1"/>
      <protection locked="0"/>
    </xf>
    <xf numFmtId="0" fontId="3" fillId="0" borderId="8" xfId="0" applyFont="1" applyFill="1" applyBorder="1" applyAlignment="1" applyProtection="1">
      <alignment horizontal="left" vertical="top" wrapText="1"/>
      <protection locked="0"/>
    </xf>
    <xf numFmtId="0" fontId="3" fillId="0" borderId="9" xfId="0" applyFont="1" applyFill="1" applyBorder="1" applyAlignment="1" applyProtection="1">
      <alignment horizontal="left" vertical="top" wrapText="1"/>
      <protection locked="0"/>
    </xf>
    <xf numFmtId="0" fontId="0" fillId="4" borderId="10" xfId="0" applyFill="1" applyBorder="1" applyAlignment="1" applyProtection="1">
      <alignment horizontal="left" vertical="top"/>
      <protection locked="0"/>
    </xf>
    <xf numFmtId="0" fontId="0" fillId="4" borderId="11" xfId="0" applyFill="1" applyBorder="1" applyAlignment="1" applyProtection="1">
      <alignment horizontal="left" vertical="top"/>
      <protection locked="0"/>
    </xf>
    <xf numFmtId="0" fontId="3" fillId="0" borderId="11" xfId="0" applyFont="1" applyFill="1" applyBorder="1" applyAlignment="1" applyProtection="1">
      <alignment horizontal="left" vertical="top" wrapText="1"/>
      <protection locked="0"/>
    </xf>
    <xf numFmtId="0" fontId="3" fillId="0" borderId="12" xfId="0" applyFont="1" applyFill="1" applyBorder="1" applyAlignment="1" applyProtection="1">
      <alignment horizontal="left" vertical="top" wrapText="1"/>
      <protection locked="0"/>
    </xf>
    <xf numFmtId="0" fontId="3" fillId="0" borderId="13" xfId="0" applyFont="1" applyFill="1" applyBorder="1" applyAlignment="1" applyProtection="1">
      <alignment horizontal="left" vertical="top" wrapText="1"/>
      <protection locked="0"/>
    </xf>
    <xf numFmtId="0" fontId="0" fillId="4" borderId="14" xfId="0" applyFill="1" applyBorder="1" applyAlignment="1" applyProtection="1">
      <alignment horizontal="left" vertical="top"/>
      <protection locked="0"/>
    </xf>
    <xf numFmtId="0" fontId="0" fillId="4" borderId="15" xfId="0" applyFill="1" applyBorder="1" applyAlignment="1" applyProtection="1">
      <alignment horizontal="left" vertical="top"/>
      <protection locked="0"/>
    </xf>
    <xf numFmtId="0" fontId="3" fillId="0" borderId="15" xfId="0" applyFont="1" applyFill="1" applyBorder="1" applyAlignment="1" applyProtection="1">
      <alignment horizontal="left" vertical="top" wrapText="1"/>
      <protection locked="0"/>
    </xf>
    <xf numFmtId="0" fontId="3" fillId="0" borderId="15" xfId="0" applyFont="1" applyFill="1" applyBorder="1" applyAlignment="1" applyProtection="1">
      <alignment horizontal="center" vertical="top" wrapText="1"/>
      <protection locked="0"/>
    </xf>
    <xf numFmtId="0" fontId="3" fillId="0" borderId="16" xfId="0" applyFont="1" applyFill="1" applyBorder="1" applyAlignment="1" applyProtection="1">
      <alignment horizontal="center" vertical="top" wrapText="1"/>
      <protection locked="0"/>
    </xf>
    <xf numFmtId="0" fontId="17" fillId="2" borderId="0" xfId="0" applyFont="1" applyFill="1" applyBorder="1" applyAlignment="1" applyProtection="1">
      <alignment horizontal="center" wrapText="1"/>
    </xf>
    <xf numFmtId="0" fontId="18" fillId="2" borderId="0" xfId="0" applyFont="1" applyFill="1" applyBorder="1" applyAlignment="1" applyProtection="1">
      <alignment horizontal="center" wrapText="1"/>
    </xf>
    <xf numFmtId="0" fontId="3" fillId="0" borderId="5" xfId="0" applyFont="1" applyFill="1" applyBorder="1" applyAlignment="1" applyProtection="1">
      <alignment horizontal="left" vertical="top" wrapText="1"/>
      <protection locked="0"/>
    </xf>
    <xf numFmtId="0" fontId="3" fillId="0" borderId="4" xfId="0" applyFont="1" applyFill="1" applyBorder="1" applyAlignment="1" applyProtection="1">
      <alignment horizontal="left" vertical="top" wrapText="1"/>
      <protection locked="0"/>
    </xf>
    <xf numFmtId="0" fontId="2" fillId="0" borderId="3" xfId="0" applyFont="1" applyBorder="1" applyAlignment="1" applyProtection="1">
      <alignment horizontal="left" vertical="center" wrapText="1"/>
      <protection locked="0"/>
    </xf>
    <xf numFmtId="0" fontId="2" fillId="0" borderId="4" xfId="0" applyFont="1" applyBorder="1" applyAlignment="1" applyProtection="1">
      <alignment horizontal="left" vertical="center" wrapText="1"/>
      <protection locked="0"/>
    </xf>
    <xf numFmtId="0" fontId="0" fillId="0" borderId="0" xfId="0"/>
    <xf numFmtId="0" fontId="2" fillId="0" borderId="3" xfId="0" applyFont="1" applyBorder="1" applyAlignment="1" applyProtection="1">
      <alignment horizontal="left" vertical="top" wrapText="1"/>
      <protection locked="0"/>
    </xf>
    <xf numFmtId="0" fontId="2" fillId="0" borderId="5" xfId="0" applyFont="1" applyBorder="1" applyAlignment="1" applyProtection="1">
      <alignment horizontal="left" vertical="center" wrapText="1"/>
      <protection locked="0"/>
    </xf>
    <xf numFmtId="0" fontId="4" fillId="0" borderId="0" xfId="0" applyFont="1" applyFill="1" applyBorder="1" applyAlignment="1" applyProtection="1">
      <alignment horizontal="center" vertical="center" wrapText="1"/>
    </xf>
    <xf numFmtId="0" fontId="1" fillId="0" borderId="0" xfId="0" applyFont="1" applyFill="1" applyBorder="1" applyAlignment="1" applyProtection="1">
      <alignment horizontal="center" vertical="center" wrapText="1"/>
    </xf>
    <xf numFmtId="0" fontId="6" fillId="3" borderId="0" xfId="0" applyFont="1" applyFill="1" applyBorder="1" applyAlignment="1" applyProtection="1">
      <alignment horizontal="left" vertical="top" wrapText="1"/>
    </xf>
    <xf numFmtId="0" fontId="8" fillId="0" borderId="0" xfId="0" applyFont="1" applyBorder="1" applyAlignment="1" applyProtection="1">
      <alignment horizontal="left" vertical="top" wrapText="1"/>
      <protection locked="0"/>
    </xf>
    <xf numFmtId="49" fontId="2" fillId="0" borderId="0" xfId="0" applyNumberFormat="1" applyFont="1" applyBorder="1" applyAlignment="1" applyProtection="1">
      <alignment horizontal="left" vertical="top" wrapText="1"/>
      <protection locked="0"/>
    </xf>
    <xf numFmtId="49" fontId="0" fillId="0" borderId="0" xfId="0" applyNumberFormat="1" applyAlignment="1" applyProtection="1">
      <alignment vertical="top" wrapText="1"/>
      <protection locked="0"/>
    </xf>
    <xf numFmtId="0" fontId="2" fillId="2" borderId="0" xfId="0" applyFont="1" applyFill="1" applyBorder="1" applyAlignment="1" applyProtection="1">
      <alignment vertical="top" wrapText="1"/>
    </xf>
  </cellXfs>
  <cellStyles count="32">
    <cellStyle name="Hipervínculo visitado" xfId="1" builtinId="9" hidden="1"/>
    <cellStyle name="Hipervínculo visitado" xfId="2" builtinId="9" hidden="1"/>
    <cellStyle name="Hipervínculo visitado" xfId="3" builtinId="9" hidden="1"/>
    <cellStyle name="Hipervínculo visitado" xfId="4" builtinId="9" hidden="1"/>
    <cellStyle name="Hipervínculo visitado" xfId="5" builtinId="9" hidden="1"/>
    <cellStyle name="Hipervínculo visitado" xfId="6" builtinId="9" hidden="1"/>
    <cellStyle name="Hipervínculo visitado" xfId="7" builtinId="9" hidden="1"/>
    <cellStyle name="Hipervínculo visitado" xfId="8" builtinId="9" hidden="1"/>
    <cellStyle name="Hipervínculo visitado" xfId="9" builtinId="9" hidden="1"/>
    <cellStyle name="Hipervínculo visitado" xfId="10" builtinId="9" hidden="1"/>
    <cellStyle name="Hipervínculo visitado" xfId="11" builtinId="9" hidden="1"/>
    <cellStyle name="Hipervínculo visitado" xfId="12" builtinId="9" hidden="1"/>
    <cellStyle name="Hipervínculo visitado" xfId="13" builtinId="9" hidden="1"/>
    <cellStyle name="Hipervínculo visitado" xfId="14" builtinId="9" hidden="1"/>
    <cellStyle name="Hipervínculo visitado" xfId="15" builtinId="9" hidden="1"/>
    <cellStyle name="Hipervínculo visitado" xfId="16" builtinId="9" hidden="1"/>
    <cellStyle name="Hipervínculo visitado" xfId="17" builtinId="9" hidden="1"/>
    <cellStyle name="Hipervínculo visitado" xfId="18" builtinId="9" hidden="1"/>
    <cellStyle name="Hipervínculo visitado" xfId="19" builtinId="9" hidden="1"/>
    <cellStyle name="Hipervínculo visitado" xfId="20" builtinId="9" hidden="1"/>
    <cellStyle name="Hipervínculo visitado" xfId="21" builtinId="9" hidden="1"/>
    <cellStyle name="Hipervínculo visitado" xfId="22" builtinId="9" hidden="1"/>
    <cellStyle name="Hipervínculo visitado" xfId="23" builtinId="9" hidden="1"/>
    <cellStyle name="Hipervínculo visitado" xfId="24" builtinId="9" hidden="1"/>
    <cellStyle name="Hipervínculo visitado" xfId="25" builtinId="9" hidden="1"/>
    <cellStyle name="Hipervínculo visitado" xfId="26" builtinId="9" hidden="1"/>
    <cellStyle name="Hipervínculo visitado" xfId="27"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1</xdr:row>
      <xdr:rowOff>142876</xdr:rowOff>
    </xdr:from>
    <xdr:to>
      <xdr:col>1</xdr:col>
      <xdr:colOff>1473334</xdr:colOff>
      <xdr:row>1</xdr:row>
      <xdr:rowOff>619126</xdr:rowOff>
    </xdr:to>
    <xdr:pic>
      <xdr:nvPicPr>
        <xdr:cNvPr id="2" name="5 Imagen" descr="Nueva imagen.TIF">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1</xdr:col>
      <xdr:colOff>95250</xdr:colOff>
      <xdr:row>1</xdr:row>
      <xdr:rowOff>142876</xdr:rowOff>
    </xdr:from>
    <xdr:to>
      <xdr:col>1</xdr:col>
      <xdr:colOff>1473334</xdr:colOff>
      <xdr:row>1</xdr:row>
      <xdr:rowOff>619126</xdr:rowOff>
    </xdr:to>
    <xdr:pic>
      <xdr:nvPicPr>
        <xdr:cNvPr id="3" name="5 Imagen" descr="Nueva imagen.TIF">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1</xdr:col>
      <xdr:colOff>95250</xdr:colOff>
      <xdr:row>1</xdr:row>
      <xdr:rowOff>142876</xdr:rowOff>
    </xdr:from>
    <xdr:to>
      <xdr:col>1</xdr:col>
      <xdr:colOff>1473334</xdr:colOff>
      <xdr:row>1</xdr:row>
      <xdr:rowOff>619126</xdr:rowOff>
    </xdr:to>
    <xdr:pic>
      <xdr:nvPicPr>
        <xdr:cNvPr id="4" name="5 Imagen" descr="Nueva imagen.TIF">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A379"/>
  <sheetViews>
    <sheetView showGridLines="0" tabSelected="1" topLeftCell="A255" workbookViewId="0">
      <selection activeCell="G259" sqref="G259"/>
    </sheetView>
  </sheetViews>
  <sheetFormatPr baseColWidth="10" defaultColWidth="10.85546875" defaultRowHeight="15" x14ac:dyDescent="0.25"/>
  <cols>
    <col min="1" max="1" width="1.28515625" style="5" customWidth="1"/>
    <col min="2" max="2" width="23.140625" style="89" customWidth="1"/>
    <col min="3" max="3" width="10.140625" style="5" customWidth="1"/>
    <col min="4" max="4" width="11" style="5" customWidth="1"/>
    <col min="5" max="7" width="12.7109375" style="5" customWidth="1"/>
    <col min="8" max="8" width="14" style="5" customWidth="1"/>
    <col min="9" max="9" width="10.28515625" style="5" customWidth="1"/>
    <col min="10" max="10" width="30.140625" style="5" customWidth="1"/>
    <col min="11" max="11" width="0.85546875" style="5" customWidth="1"/>
    <col min="12" max="13" width="10.85546875" style="5"/>
    <col min="14" max="14" width="11.42578125" style="5" hidden="1" customWidth="1"/>
    <col min="15" max="19" width="10.85546875" style="5"/>
    <col min="20" max="24" width="0" style="5" hidden="1" customWidth="1"/>
    <col min="25" max="25" width="78.85546875" style="5" hidden="1" customWidth="1"/>
    <col min="26" max="26" width="69.42578125" style="5" hidden="1" customWidth="1"/>
    <col min="27" max="27" width="98" style="5" hidden="1" customWidth="1"/>
    <col min="28" max="16384" width="10.85546875" style="5"/>
  </cols>
  <sheetData>
    <row r="1" spans="1:27" ht="6.75" customHeight="1" x14ac:dyDescent="0.25">
      <c r="A1" s="1"/>
      <c r="B1" s="2"/>
      <c r="C1" s="3"/>
      <c r="D1" s="3"/>
      <c r="E1" s="3"/>
      <c r="F1" s="3"/>
      <c r="G1" s="3"/>
      <c r="H1" s="4"/>
      <c r="I1" s="3"/>
      <c r="J1" s="3"/>
      <c r="K1" s="1"/>
    </row>
    <row r="2" spans="1:27" ht="72" customHeight="1" x14ac:dyDescent="0.25">
      <c r="A2" s="1"/>
      <c r="B2" s="186" t="s">
        <v>0</v>
      </c>
      <c r="C2" s="187"/>
      <c r="D2" s="187"/>
      <c r="E2" s="187"/>
      <c r="F2" s="187"/>
      <c r="G2" s="187"/>
      <c r="H2" s="187"/>
      <c r="I2" s="187"/>
      <c r="J2" s="187"/>
      <c r="K2" s="1"/>
      <c r="X2" s="5" t="s">
        <v>1</v>
      </c>
      <c r="Z2" s="5" t="s">
        <v>2</v>
      </c>
    </row>
    <row r="3" spans="1:27" ht="7.5" customHeight="1" x14ac:dyDescent="0.25">
      <c r="A3" s="1"/>
      <c r="B3" s="2"/>
      <c r="C3" s="3"/>
      <c r="D3" s="3"/>
      <c r="E3" s="3"/>
      <c r="F3" s="3"/>
      <c r="G3" s="3"/>
      <c r="H3" s="4"/>
      <c r="I3" s="3"/>
      <c r="J3" s="3"/>
      <c r="K3" s="1"/>
      <c r="X3" s="6" t="s">
        <v>3</v>
      </c>
      <c r="Y3" s="5" t="str">
        <f t="shared" ref="Y3:Y9" si="0">+SUBSTITUTE(Z3," ","_")</f>
        <v>ESTUDIOS_E_INGENIERÍAS_ELABORACIÓN_PROYECTOS</v>
      </c>
      <c r="Z3" s="6" t="s">
        <v>4</v>
      </c>
      <c r="AA3" s="7" t="s">
        <v>5</v>
      </c>
    </row>
    <row r="4" spans="1:27" ht="17.25" customHeight="1" x14ac:dyDescent="0.25">
      <c r="A4" s="1"/>
      <c r="B4" s="188" t="s">
        <v>6</v>
      </c>
      <c r="C4" s="188"/>
      <c r="D4" s="188"/>
      <c r="E4" s="188"/>
      <c r="F4" s="188"/>
      <c r="G4" s="188"/>
      <c r="H4" s="188"/>
      <c r="I4" s="188"/>
      <c r="J4" s="8" t="s">
        <v>7</v>
      </c>
      <c r="K4" s="1"/>
      <c r="X4" s="6" t="s">
        <v>8</v>
      </c>
      <c r="Y4" s="5" t="str">
        <f t="shared" si="0"/>
        <v>OTROS_CONSULTORES_Y_ASESORES</v>
      </c>
      <c r="Z4" s="6" t="s">
        <v>9</v>
      </c>
      <c r="AA4" s="7" t="s">
        <v>10</v>
      </c>
    </row>
    <row r="5" spans="1:27" ht="12.75" customHeight="1" x14ac:dyDescent="0.25">
      <c r="A5" s="1"/>
      <c r="B5" s="2"/>
      <c r="C5" s="3"/>
      <c r="D5" s="3"/>
      <c r="E5" s="3"/>
      <c r="F5" s="3"/>
      <c r="G5" s="3"/>
      <c r="H5" s="4"/>
      <c r="I5" s="3"/>
      <c r="J5" s="3"/>
      <c r="K5" s="1"/>
      <c r="X5" s="6" t="s">
        <v>11</v>
      </c>
      <c r="Y5" s="5" t="str">
        <f t="shared" si="0"/>
        <v>SUMINISTRO_MATERIALES_PARA_OBRA_CIVIL</v>
      </c>
      <c r="Z5" s="6" t="s">
        <v>12</v>
      </c>
      <c r="AA5" s="7" t="s">
        <v>13</v>
      </c>
    </row>
    <row r="6" spans="1:27" ht="37.5" customHeight="1" x14ac:dyDescent="0.25">
      <c r="A6" s="1"/>
      <c r="B6" s="9" t="s">
        <v>14</v>
      </c>
      <c r="C6" s="189" t="s">
        <v>472</v>
      </c>
      <c r="D6" s="189"/>
      <c r="E6" s="189"/>
      <c r="F6" s="189"/>
      <c r="G6" s="189"/>
      <c r="H6" s="189"/>
      <c r="I6" s="189"/>
      <c r="J6" s="189"/>
      <c r="K6" s="1"/>
      <c r="N6" s="5" t="str">
        <f>+C6</f>
        <v>VIALTERRA INFRAESTRUCTURAS SA</v>
      </c>
      <c r="Y6" s="5" t="str">
        <f t="shared" si="0"/>
        <v>SUMINISTRO_MATERIALES_PARA_ACABADOS</v>
      </c>
      <c r="Z6" s="10" t="s">
        <v>15</v>
      </c>
      <c r="AA6" s="7" t="s">
        <v>16</v>
      </c>
    </row>
    <row r="7" spans="1:27" ht="4.5" customHeight="1" x14ac:dyDescent="0.25">
      <c r="A7" s="1"/>
      <c r="B7" s="2"/>
      <c r="C7" s="3"/>
      <c r="D7" s="3"/>
      <c r="E7" s="3"/>
      <c r="F7" s="3"/>
      <c r="G7" s="3"/>
      <c r="H7" s="4"/>
      <c r="I7" s="3"/>
      <c r="J7" s="3"/>
      <c r="K7" s="1"/>
      <c r="Y7" s="5" t="str">
        <f t="shared" si="0"/>
        <v>SUMINISTRO_AISLAMIENTOS_Y_TRATAMIENTOS_ESPECÍFICOS</v>
      </c>
      <c r="Z7" s="6" t="s">
        <v>17</v>
      </c>
      <c r="AA7" s="7" t="s">
        <v>18</v>
      </c>
    </row>
    <row r="8" spans="1:27" ht="19.5" customHeight="1" x14ac:dyDescent="0.25">
      <c r="A8" s="1"/>
      <c r="B8" s="11" t="s">
        <v>19</v>
      </c>
      <c r="C8" s="190" t="s">
        <v>473</v>
      </c>
      <c r="D8" s="191"/>
      <c r="E8" s="3"/>
      <c r="F8" s="3"/>
      <c r="G8" s="3"/>
      <c r="H8" s="1"/>
      <c r="I8" s="192" t="s">
        <v>20</v>
      </c>
      <c r="J8" s="192"/>
      <c r="K8" s="1"/>
      <c r="Y8" s="5" t="str">
        <f t="shared" si="0"/>
        <v>SUMINISTRO_MATERIALES_PARA_INSTALACIONES_ELECTROMECÁNICAS</v>
      </c>
      <c r="Z8" s="6" t="s">
        <v>21</v>
      </c>
      <c r="AA8" s="7" t="s">
        <v>22</v>
      </c>
    </row>
    <row r="9" spans="1:27" ht="13.5" customHeight="1" x14ac:dyDescent="0.25">
      <c r="A9" s="1"/>
      <c r="B9" s="2"/>
      <c r="C9" s="3"/>
      <c r="D9" s="3"/>
      <c r="E9" s="3"/>
      <c r="F9" s="3"/>
      <c r="G9" s="3"/>
      <c r="H9" s="4"/>
      <c r="I9" s="3"/>
      <c r="J9" s="3"/>
      <c r="K9" s="1"/>
      <c r="U9" s="5" t="s">
        <v>23</v>
      </c>
      <c r="Y9" s="5" t="str">
        <f t="shared" si="0"/>
        <v>CONTRATISTA_GENERAL_OBRA_CIVIL</v>
      </c>
      <c r="Z9" s="6" t="s">
        <v>24</v>
      </c>
      <c r="AA9" s="7" t="s">
        <v>25</v>
      </c>
    </row>
    <row r="10" spans="1:27" ht="19.5" customHeight="1" x14ac:dyDescent="0.25">
      <c r="A10" s="1"/>
      <c r="B10" s="12" t="s">
        <v>26</v>
      </c>
      <c r="C10" s="181" t="s">
        <v>474</v>
      </c>
      <c r="D10" s="181"/>
      <c r="E10" s="181"/>
      <c r="F10" s="181"/>
      <c r="G10" s="181"/>
      <c r="H10" s="181"/>
      <c r="I10" s="13" t="s">
        <v>27</v>
      </c>
      <c r="J10" s="97">
        <v>953750042</v>
      </c>
      <c r="K10" s="1"/>
      <c r="Y10" s="5" t="s">
        <v>28</v>
      </c>
      <c r="Z10" s="6" t="s">
        <v>29</v>
      </c>
      <c r="AA10" s="7" t="s">
        <v>30</v>
      </c>
    </row>
    <row r="11" spans="1:27" ht="19.5" customHeight="1" x14ac:dyDescent="0.25">
      <c r="A11" s="1"/>
      <c r="B11" s="12" t="s">
        <v>31</v>
      </c>
      <c r="C11" s="182" t="s">
        <v>475</v>
      </c>
      <c r="D11" s="182"/>
      <c r="E11" s="182"/>
      <c r="F11" s="182"/>
      <c r="G11" s="182"/>
      <c r="H11" s="182"/>
      <c r="I11" s="13" t="s">
        <v>32</v>
      </c>
      <c r="J11" s="14">
        <v>953756953</v>
      </c>
      <c r="K11" s="1"/>
      <c r="Y11" s="5" t="str">
        <f>+SUBSTITUTE(Z11," ","_")</f>
        <v>CONTRATISTA_GENERAL_INSTALACIONES_ELECTROMECÁNICAS</v>
      </c>
      <c r="Z11" s="6" t="s">
        <v>33</v>
      </c>
      <c r="AA11" s="7" t="s">
        <v>34</v>
      </c>
    </row>
    <row r="12" spans="1:27" ht="19.5" customHeight="1" x14ac:dyDescent="0.25">
      <c r="A12" s="1"/>
      <c r="B12" s="13" t="s">
        <v>35</v>
      </c>
      <c r="C12" s="185" t="s">
        <v>475</v>
      </c>
      <c r="D12" s="185"/>
      <c r="E12" s="185"/>
      <c r="F12" s="185"/>
      <c r="G12" s="185"/>
      <c r="H12" s="185"/>
      <c r="I12" s="15" t="s">
        <v>36</v>
      </c>
      <c r="J12" s="16" t="s">
        <v>476</v>
      </c>
      <c r="K12" s="1"/>
      <c r="Y12" s="5" t="s">
        <v>37</v>
      </c>
      <c r="Z12" s="6" t="s">
        <v>38</v>
      </c>
      <c r="AA12" s="7" t="s">
        <v>39</v>
      </c>
    </row>
    <row r="13" spans="1:27" ht="17.25" customHeight="1" x14ac:dyDescent="0.25">
      <c r="A13" s="1"/>
      <c r="B13" s="2"/>
      <c r="C13" s="3"/>
      <c r="D13" s="3"/>
      <c r="E13" s="3"/>
      <c r="F13" s="3"/>
      <c r="G13" s="3"/>
      <c r="H13" s="4"/>
      <c r="I13" s="3"/>
      <c r="J13" s="3"/>
      <c r="K13" s="1"/>
      <c r="Y13" s="5" t="str">
        <f>+SUBSTITUTE(Z13," ","_")</f>
        <v>CONTRATISTA_SEGURIDAD_Y_SALUD</v>
      </c>
      <c r="Z13" s="6" t="s">
        <v>40</v>
      </c>
      <c r="AA13" s="7" t="s">
        <v>41</v>
      </c>
    </row>
    <row r="14" spans="1:27" ht="30" customHeight="1" x14ac:dyDescent="0.25">
      <c r="A14" s="1"/>
      <c r="B14" s="11" t="s">
        <v>42</v>
      </c>
      <c r="C14" s="181" t="s">
        <v>477</v>
      </c>
      <c r="D14" s="181"/>
      <c r="E14" s="181"/>
      <c r="F14" s="181"/>
      <c r="G14" s="181"/>
      <c r="H14" s="181"/>
      <c r="I14" s="13" t="s">
        <v>27</v>
      </c>
      <c r="J14" s="95"/>
      <c r="K14" s="1"/>
      <c r="Y14" s="5" t="s">
        <v>43</v>
      </c>
      <c r="Z14" s="6" t="s">
        <v>44</v>
      </c>
      <c r="AA14" s="7" t="s">
        <v>45</v>
      </c>
    </row>
    <row r="15" spans="1:27" ht="20.25" customHeight="1" x14ac:dyDescent="0.25">
      <c r="A15" s="1"/>
      <c r="B15" s="13" t="s">
        <v>46</v>
      </c>
      <c r="C15" s="182" t="s">
        <v>478</v>
      </c>
      <c r="D15" s="182"/>
      <c r="E15" s="182"/>
      <c r="F15" s="182"/>
      <c r="G15" s="182"/>
      <c r="H15" s="182"/>
      <c r="I15" s="13" t="s">
        <v>47</v>
      </c>
      <c r="J15" s="97" t="s">
        <v>479</v>
      </c>
      <c r="K15" s="1"/>
      <c r="Y15" s="5" t="s">
        <v>48</v>
      </c>
      <c r="Z15" s="6" t="s">
        <v>49</v>
      </c>
      <c r="AA15" s="7" t="s">
        <v>50</v>
      </c>
    </row>
    <row r="16" spans="1:27" ht="3" customHeight="1" x14ac:dyDescent="0.25">
      <c r="A16" s="1"/>
      <c r="B16" s="2"/>
      <c r="C16" s="3"/>
      <c r="D16" s="3"/>
      <c r="E16" s="3"/>
      <c r="F16" s="3"/>
      <c r="G16" s="3"/>
      <c r="H16" s="4"/>
      <c r="I16" s="3"/>
      <c r="J16" s="3"/>
      <c r="K16" s="1"/>
      <c r="Y16" s="5" t="s">
        <v>51</v>
      </c>
      <c r="Z16" s="6" t="s">
        <v>52</v>
      </c>
      <c r="AA16" s="7" t="s">
        <v>23</v>
      </c>
    </row>
    <row r="17" spans="1:27" ht="30" customHeight="1" x14ac:dyDescent="0.25">
      <c r="A17" s="1"/>
      <c r="B17" s="11" t="s">
        <v>53</v>
      </c>
      <c r="C17" s="181" t="s">
        <v>480</v>
      </c>
      <c r="D17" s="181"/>
      <c r="E17" s="181"/>
      <c r="F17" s="181"/>
      <c r="G17" s="181"/>
      <c r="H17" s="181"/>
      <c r="I17" s="13" t="s">
        <v>27</v>
      </c>
      <c r="J17" s="95">
        <v>953750042</v>
      </c>
      <c r="K17" s="1"/>
      <c r="Y17" s="5" t="s">
        <v>54</v>
      </c>
      <c r="Z17" s="6" t="s">
        <v>55</v>
      </c>
      <c r="AA17" s="7" t="s">
        <v>56</v>
      </c>
    </row>
    <row r="18" spans="1:27" ht="20.25" customHeight="1" x14ac:dyDescent="0.25">
      <c r="A18" s="1"/>
      <c r="B18" s="13" t="s">
        <v>46</v>
      </c>
      <c r="C18" s="182" t="s">
        <v>481</v>
      </c>
      <c r="D18" s="182"/>
      <c r="E18" s="182"/>
      <c r="F18" s="182"/>
      <c r="G18" s="182"/>
      <c r="H18" s="182"/>
      <c r="I18" s="13" t="s">
        <v>47</v>
      </c>
      <c r="J18" s="95">
        <v>681074700</v>
      </c>
      <c r="K18" s="1"/>
      <c r="Y18" s="5" t="s">
        <v>57</v>
      </c>
      <c r="Z18" s="6" t="s">
        <v>58</v>
      </c>
      <c r="AA18" s="7" t="s">
        <v>59</v>
      </c>
    </row>
    <row r="19" spans="1:27" ht="3" customHeight="1" x14ac:dyDescent="0.25">
      <c r="A19" s="1"/>
      <c r="B19" s="2"/>
      <c r="C19" s="3"/>
      <c r="D19" s="3"/>
      <c r="E19" s="3"/>
      <c r="F19" s="3"/>
      <c r="G19" s="3"/>
      <c r="H19" s="4"/>
      <c r="I19" s="3"/>
      <c r="J19" s="3"/>
      <c r="K19" s="1"/>
      <c r="Y19" s="5" t="s">
        <v>60</v>
      </c>
      <c r="Z19" s="6" t="s">
        <v>61</v>
      </c>
      <c r="AA19" s="7" t="s">
        <v>62</v>
      </c>
    </row>
    <row r="20" spans="1:27" ht="31.5" customHeight="1" x14ac:dyDescent="0.25">
      <c r="A20" s="1"/>
      <c r="B20" s="11" t="s">
        <v>63</v>
      </c>
      <c r="C20" s="181" t="s">
        <v>482</v>
      </c>
      <c r="D20" s="181"/>
      <c r="E20" s="181"/>
      <c r="F20" s="181"/>
      <c r="G20" s="181"/>
      <c r="H20" s="181"/>
      <c r="I20" s="13" t="s">
        <v>27</v>
      </c>
      <c r="J20" s="95"/>
      <c r="K20" s="1"/>
      <c r="Y20" s="5" t="s">
        <v>64</v>
      </c>
      <c r="Z20" s="6" t="s">
        <v>65</v>
      </c>
      <c r="AA20" s="7" t="s">
        <v>66</v>
      </c>
    </row>
    <row r="21" spans="1:27" ht="20.25" customHeight="1" x14ac:dyDescent="0.25">
      <c r="A21" s="1"/>
      <c r="B21" s="13" t="s">
        <v>46</v>
      </c>
      <c r="C21" s="182" t="s">
        <v>483</v>
      </c>
      <c r="D21" s="182"/>
      <c r="E21" s="182"/>
      <c r="F21" s="182"/>
      <c r="G21" s="182"/>
      <c r="H21" s="182"/>
      <c r="I21" s="13" t="s">
        <v>47</v>
      </c>
      <c r="J21" s="96">
        <v>648180750</v>
      </c>
      <c r="K21" s="1"/>
      <c r="Y21" s="5" t="str">
        <f t="shared" ref="Y21:Y39" si="1">+SUBSTITUTE(Z21," ","_")</f>
        <v>CONTRATISTA_ESPECIALIDADES_ACABADOS</v>
      </c>
      <c r="Z21" s="6" t="s">
        <v>67</v>
      </c>
      <c r="AA21" s="7" t="s">
        <v>68</v>
      </c>
    </row>
    <row r="22" spans="1:27" ht="3" customHeight="1" x14ac:dyDescent="0.25">
      <c r="A22" s="1"/>
      <c r="B22" s="2"/>
      <c r="C22" s="3"/>
      <c r="D22" s="3"/>
      <c r="E22" s="3"/>
      <c r="F22" s="3"/>
      <c r="G22" s="3"/>
      <c r="H22" s="4"/>
      <c r="I22" s="3"/>
      <c r="J22" s="3"/>
      <c r="K22" s="1"/>
      <c r="Y22" s="5" t="str">
        <f t="shared" si="1"/>
        <v>CONTRATISTAS_INSTALACIONES_ELÉCTRICAS</v>
      </c>
      <c r="Z22" s="6" t="s">
        <v>69</v>
      </c>
      <c r="AA22" s="7" t="s">
        <v>70</v>
      </c>
    </row>
    <row r="23" spans="1:27" ht="32.25" customHeight="1" x14ac:dyDescent="0.25">
      <c r="A23" s="1"/>
      <c r="B23" s="11" t="s">
        <v>71</v>
      </c>
      <c r="C23" s="181" t="s">
        <v>484</v>
      </c>
      <c r="D23" s="181"/>
      <c r="E23" s="181"/>
      <c r="F23" s="181"/>
      <c r="G23" s="181"/>
      <c r="H23" s="181"/>
      <c r="I23" s="13" t="s">
        <v>27</v>
      </c>
      <c r="J23" s="96">
        <v>699277992</v>
      </c>
      <c r="K23" s="1"/>
      <c r="Y23" s="5" t="str">
        <f t="shared" si="1"/>
        <v>CONTRATISTAS_INSTALACIONES_MECÁNICAS</v>
      </c>
      <c r="Z23" s="6" t="s">
        <v>72</v>
      </c>
      <c r="AA23" s="7" t="s">
        <v>73</v>
      </c>
    </row>
    <row r="24" spans="1:27" ht="20.25" customHeight="1" x14ac:dyDescent="0.25">
      <c r="A24" s="1"/>
      <c r="B24" s="13" t="s">
        <v>46</v>
      </c>
      <c r="C24" s="183"/>
      <c r="D24" s="183"/>
      <c r="E24" s="183"/>
      <c r="F24" s="183"/>
      <c r="G24" s="183"/>
      <c r="H24" s="183"/>
      <c r="I24" s="13" t="s">
        <v>47</v>
      </c>
      <c r="J24" s="17"/>
      <c r="K24" s="1"/>
      <c r="Y24" s="5" t="str">
        <f t="shared" si="1"/>
        <v>CONTRATISTAS_INSTALACIONES_ESPECIALES</v>
      </c>
      <c r="Z24" s="6" t="s">
        <v>74</v>
      </c>
      <c r="AA24" s="7" t="s">
        <v>75</v>
      </c>
    </row>
    <row r="25" spans="1:27" ht="16.5" customHeight="1" x14ac:dyDescent="0.25">
      <c r="A25" s="1"/>
      <c r="B25" s="2"/>
      <c r="C25" s="3"/>
      <c r="D25" s="3"/>
      <c r="E25" s="3"/>
      <c r="F25" s="3"/>
      <c r="G25" s="3"/>
      <c r="H25" s="4"/>
      <c r="I25" s="3"/>
      <c r="J25" s="3"/>
      <c r="K25" s="1"/>
      <c r="Y25" s="5" t="str">
        <f t="shared" si="1"/>
        <v>CONTRATISTAS_MEDIOS_DE_ELEVACIÓN</v>
      </c>
      <c r="Z25" s="6" t="s">
        <v>76</v>
      </c>
      <c r="AA25" s="7" t="s">
        <v>77</v>
      </c>
    </row>
    <row r="26" spans="1:27" ht="21.75" customHeight="1" x14ac:dyDescent="0.25">
      <c r="A26" s="1"/>
      <c r="B26" s="18" t="s">
        <v>78</v>
      </c>
      <c r="C26" s="184" t="s">
        <v>485</v>
      </c>
      <c r="D26" s="184"/>
      <c r="E26" s="184"/>
      <c r="F26" s="184"/>
      <c r="G26" s="184"/>
      <c r="H26" s="184"/>
      <c r="I26" s="184"/>
      <c r="J26" s="184"/>
      <c r="K26" s="1"/>
      <c r="Y26" s="5" t="str">
        <f t="shared" si="1"/>
        <v>CONTRATISTAS_DE_REHABILITACIÓN</v>
      </c>
      <c r="Z26" s="6" t="s">
        <v>79</v>
      </c>
      <c r="AA26" s="7" t="s">
        <v>80</v>
      </c>
    </row>
    <row r="27" spans="1:27" ht="18.75" customHeight="1" x14ac:dyDescent="0.25">
      <c r="A27" s="1"/>
      <c r="B27" s="13" t="s">
        <v>81</v>
      </c>
      <c r="C27" s="181" t="s">
        <v>486</v>
      </c>
      <c r="D27" s="181"/>
      <c r="E27" s="181"/>
      <c r="F27" s="181"/>
      <c r="G27" s="13" t="s">
        <v>82</v>
      </c>
      <c r="H27" s="19" t="s">
        <v>487</v>
      </c>
      <c r="I27" s="13" t="s">
        <v>35</v>
      </c>
      <c r="J27" s="20" t="s">
        <v>488</v>
      </c>
      <c r="K27" s="1"/>
      <c r="Y27" s="5" t="str">
        <f t="shared" si="1"/>
        <v>CONTRATISTAS_DE_EQUIPAMIENTO</v>
      </c>
      <c r="Z27" s="6" t="s">
        <v>83</v>
      </c>
      <c r="AA27" s="7" t="s">
        <v>84</v>
      </c>
    </row>
    <row r="28" spans="1:27" ht="12.75" customHeight="1" x14ac:dyDescent="0.25">
      <c r="A28" s="1"/>
      <c r="B28" s="2"/>
      <c r="C28" s="3"/>
      <c r="D28" s="3"/>
      <c r="E28" s="3"/>
      <c r="F28" s="3"/>
      <c r="G28" s="3"/>
      <c r="H28" s="4"/>
      <c r="I28" s="3"/>
      <c r="J28" s="3"/>
      <c r="K28" s="1"/>
      <c r="Y28" s="5" t="str">
        <f t="shared" si="1"/>
        <v/>
      </c>
      <c r="Z28"/>
      <c r="AA28" s="7" t="s">
        <v>85</v>
      </c>
    </row>
    <row r="29" spans="1:27" ht="15.75" customHeight="1" x14ac:dyDescent="0.25">
      <c r="A29" s="1"/>
      <c r="B29" s="140" t="s">
        <v>86</v>
      </c>
      <c r="C29" s="140"/>
      <c r="D29" s="140"/>
      <c r="E29" s="140"/>
      <c r="F29" s="140"/>
      <c r="G29" s="140"/>
      <c r="H29" s="21"/>
      <c r="I29" s="21"/>
      <c r="J29" s="21"/>
      <c r="K29" s="1"/>
      <c r="Y29" s="5" t="str">
        <f t="shared" si="1"/>
        <v/>
      </c>
      <c r="Z29"/>
      <c r="AA29" s="7" t="s">
        <v>87</v>
      </c>
    </row>
    <row r="30" spans="1:27" ht="17.25" customHeight="1" x14ac:dyDescent="0.25">
      <c r="A30" s="1"/>
      <c r="B30" s="140"/>
      <c r="C30" s="13" t="s">
        <v>88</v>
      </c>
      <c r="D30" s="153"/>
      <c r="E30" s="153"/>
      <c r="F30" s="153"/>
      <c r="G30" s="15" t="s">
        <v>89</v>
      </c>
      <c r="H30" s="153"/>
      <c r="I30" s="153"/>
      <c r="J30" s="153"/>
      <c r="K30" s="1"/>
      <c r="Y30" s="5" t="str">
        <f t="shared" si="1"/>
        <v/>
      </c>
      <c r="Z30"/>
      <c r="AA30" s="7" t="s">
        <v>90</v>
      </c>
    </row>
    <row r="31" spans="1:27" ht="17.25" customHeight="1" x14ac:dyDescent="0.25">
      <c r="A31" s="1"/>
      <c r="B31" s="140"/>
      <c r="C31" s="13" t="s">
        <v>91</v>
      </c>
      <c r="D31" s="180"/>
      <c r="E31" s="180"/>
      <c r="F31" s="180"/>
      <c r="G31" s="15" t="s">
        <v>92</v>
      </c>
      <c r="H31" s="180"/>
      <c r="I31" s="180"/>
      <c r="J31" s="180"/>
      <c r="K31" s="1"/>
      <c r="Y31" s="5" t="str">
        <f t="shared" si="1"/>
        <v/>
      </c>
      <c r="Z31"/>
      <c r="AA31" s="7" t="s">
        <v>93</v>
      </c>
    </row>
    <row r="32" spans="1:27" ht="17.25" customHeight="1" x14ac:dyDescent="0.25">
      <c r="A32" s="1"/>
      <c r="B32" s="4"/>
      <c r="C32" s="13" t="s">
        <v>94</v>
      </c>
      <c r="D32" s="179"/>
      <c r="E32" s="179"/>
      <c r="F32" s="179"/>
      <c r="G32" s="15" t="s">
        <v>95</v>
      </c>
      <c r="H32" s="179"/>
      <c r="I32" s="179"/>
      <c r="J32" s="179"/>
      <c r="K32" s="1"/>
      <c r="Y32" s="5" t="str">
        <f t="shared" si="1"/>
        <v/>
      </c>
      <c r="Z32"/>
      <c r="AA32" s="7" t="s">
        <v>96</v>
      </c>
    </row>
    <row r="33" spans="1:27" ht="10.5" customHeight="1" x14ac:dyDescent="0.25">
      <c r="A33" s="1"/>
      <c r="B33" s="2"/>
      <c r="C33" s="3"/>
      <c r="D33" s="3"/>
      <c r="E33" s="3"/>
      <c r="F33" s="3"/>
      <c r="G33" s="3"/>
      <c r="H33" s="4"/>
      <c r="I33" s="3"/>
      <c r="J33" s="3"/>
      <c r="K33" s="1"/>
      <c r="Y33" s="5" t="str">
        <f t="shared" si="1"/>
        <v/>
      </c>
      <c r="Z33"/>
      <c r="AA33" s="7" t="s">
        <v>97</v>
      </c>
    </row>
    <row r="34" spans="1:27" ht="18" customHeight="1" x14ac:dyDescent="0.25">
      <c r="A34" s="1"/>
      <c r="B34" s="140" t="s">
        <v>98</v>
      </c>
      <c r="C34" s="140"/>
      <c r="D34" s="140"/>
      <c r="E34" s="140"/>
      <c r="F34" s="140"/>
      <c r="G34" s="140"/>
      <c r="H34" s="21"/>
      <c r="I34" s="21"/>
      <c r="J34" s="21"/>
      <c r="K34" s="1"/>
      <c r="Y34" s="5" t="str">
        <f t="shared" si="1"/>
        <v/>
      </c>
      <c r="Z34"/>
      <c r="AA34" s="7" t="s">
        <v>99</v>
      </c>
    </row>
    <row r="35" spans="1:27" ht="19.5" customHeight="1" x14ac:dyDescent="0.25">
      <c r="A35" s="1"/>
      <c r="B35" s="4"/>
      <c r="C35" s="13" t="s">
        <v>88</v>
      </c>
      <c r="D35" s="153"/>
      <c r="E35" s="153"/>
      <c r="F35" s="153"/>
      <c r="G35" s="15" t="s">
        <v>100</v>
      </c>
      <c r="H35" s="153"/>
      <c r="I35" s="153"/>
      <c r="J35" s="153"/>
      <c r="K35" s="1"/>
      <c r="Y35" s="5" t="str">
        <f t="shared" si="1"/>
        <v/>
      </c>
      <c r="Z35"/>
      <c r="AA35" s="7" t="s">
        <v>101</v>
      </c>
    </row>
    <row r="36" spans="1:27" ht="19.5" customHeight="1" x14ac:dyDescent="0.25">
      <c r="A36" s="1"/>
      <c r="B36" s="4"/>
      <c r="C36" s="13" t="s">
        <v>91</v>
      </c>
      <c r="D36" s="180"/>
      <c r="E36" s="180"/>
      <c r="F36" s="180"/>
      <c r="G36" s="15" t="s">
        <v>89</v>
      </c>
      <c r="H36" s="180"/>
      <c r="I36" s="180"/>
      <c r="J36" s="180"/>
      <c r="K36" s="1"/>
      <c r="Y36" s="5" t="str">
        <f t="shared" si="1"/>
        <v/>
      </c>
      <c r="Z36"/>
      <c r="AA36" s="7" t="s">
        <v>102</v>
      </c>
    </row>
    <row r="37" spans="1:27" ht="18.75" customHeight="1" x14ac:dyDescent="0.25">
      <c r="A37" s="1"/>
      <c r="B37" s="2"/>
      <c r="C37" s="3"/>
      <c r="D37" s="3"/>
      <c r="E37" s="3"/>
      <c r="F37" s="3"/>
      <c r="G37" s="3"/>
      <c r="H37" s="4"/>
      <c r="I37" s="3"/>
      <c r="J37" s="3"/>
      <c r="K37" s="1"/>
      <c r="Y37" s="5" t="str">
        <f t="shared" si="1"/>
        <v/>
      </c>
      <c r="Z37"/>
      <c r="AA37" s="7" t="s">
        <v>103</v>
      </c>
    </row>
    <row r="38" spans="1:27" ht="19.5" customHeight="1" x14ac:dyDescent="0.25">
      <c r="A38" s="1"/>
      <c r="B38" s="140" t="s">
        <v>104</v>
      </c>
      <c r="C38" s="140"/>
      <c r="D38" s="140"/>
      <c r="E38" s="140"/>
      <c r="F38" s="140"/>
      <c r="G38" s="140"/>
      <c r="H38" s="140"/>
      <c r="I38" s="140"/>
      <c r="J38" s="140"/>
      <c r="K38" s="1"/>
      <c r="Y38" s="5" t="str">
        <f t="shared" si="1"/>
        <v/>
      </c>
      <c r="Z38"/>
      <c r="AA38" s="7" t="s">
        <v>105</v>
      </c>
    </row>
    <row r="39" spans="1:27" ht="5.25" customHeight="1" x14ac:dyDescent="0.25">
      <c r="A39" s="1"/>
      <c r="B39" s="2"/>
      <c r="C39" s="3"/>
      <c r="D39" s="3"/>
      <c r="E39" s="3"/>
      <c r="F39" s="3"/>
      <c r="G39" s="3"/>
      <c r="H39" s="4"/>
      <c r="I39" s="3"/>
      <c r="J39" s="3"/>
      <c r="K39" s="1"/>
      <c r="Y39" s="5" t="str">
        <f t="shared" si="1"/>
        <v/>
      </c>
      <c r="Z39"/>
      <c r="AA39" s="7" t="s">
        <v>106</v>
      </c>
    </row>
    <row r="40" spans="1:27" ht="30" customHeight="1" x14ac:dyDescent="0.25">
      <c r="A40" s="1"/>
      <c r="B40" s="177" t="s">
        <v>107</v>
      </c>
      <c r="C40" s="177"/>
      <c r="D40" s="178" t="s">
        <v>108</v>
      </c>
      <c r="E40" s="178"/>
      <c r="F40" s="178"/>
      <c r="G40" s="22"/>
      <c r="H40" s="178" t="s">
        <v>109</v>
      </c>
      <c r="I40" s="178"/>
      <c r="J40" s="178"/>
      <c r="K40" s="1"/>
      <c r="Z40"/>
      <c r="AA40" s="7" t="s">
        <v>110</v>
      </c>
    </row>
    <row r="41" spans="1:27" ht="28.5" customHeight="1" x14ac:dyDescent="0.25">
      <c r="A41" s="1"/>
      <c r="B41" s="162" t="s">
        <v>11</v>
      </c>
      <c r="C41" s="163"/>
      <c r="D41" s="164"/>
      <c r="E41" s="164"/>
      <c r="F41" s="164"/>
      <c r="G41" s="164"/>
      <c r="H41" s="165"/>
      <c r="I41" s="166"/>
      <c r="J41" s="166"/>
      <c r="K41" s="1"/>
      <c r="Y41" s="5" t="str">
        <f t="shared" ref="Y41:Y104" si="2">+SUBSTITUTE(Z41," ","_")</f>
        <v/>
      </c>
      <c r="Z41"/>
      <c r="AA41" s="7" t="s">
        <v>111</v>
      </c>
    </row>
    <row r="42" spans="1:27" ht="27.75" customHeight="1" x14ac:dyDescent="0.25">
      <c r="A42" s="1"/>
      <c r="B42" s="167"/>
      <c r="C42" s="168"/>
      <c r="D42" s="169"/>
      <c r="E42" s="169"/>
      <c r="F42" s="169"/>
      <c r="G42" s="169"/>
      <c r="H42" s="170"/>
      <c r="I42" s="171"/>
      <c r="J42" s="171"/>
      <c r="K42" s="1"/>
      <c r="Y42" s="5" t="str">
        <f t="shared" si="2"/>
        <v/>
      </c>
      <c r="Z42"/>
      <c r="AA42" s="7" t="s">
        <v>112</v>
      </c>
    </row>
    <row r="43" spans="1:27" ht="27.75" customHeight="1" x14ac:dyDescent="0.25">
      <c r="A43" s="1"/>
      <c r="B43" s="172"/>
      <c r="C43" s="173"/>
      <c r="D43" s="174"/>
      <c r="E43" s="174"/>
      <c r="F43" s="174"/>
      <c r="G43" s="174"/>
      <c r="H43" s="175"/>
      <c r="I43" s="175"/>
      <c r="J43" s="176"/>
      <c r="K43" s="1"/>
      <c r="Y43" s="5" t="str">
        <f t="shared" si="2"/>
        <v/>
      </c>
      <c r="Z43"/>
      <c r="AA43" s="7" t="s">
        <v>113</v>
      </c>
    </row>
    <row r="44" spans="1:27" ht="17.25" customHeight="1" x14ac:dyDescent="0.25">
      <c r="A44" s="1"/>
      <c r="B44" s="140" t="s">
        <v>114</v>
      </c>
      <c r="C44" s="140"/>
      <c r="D44" s="140"/>
      <c r="E44" s="140"/>
      <c r="F44" s="140"/>
      <c r="G44" s="140"/>
      <c r="H44" s="140"/>
      <c r="I44" s="140"/>
      <c r="J44" s="140"/>
      <c r="K44" s="1"/>
      <c r="Y44" s="5" t="str">
        <f t="shared" si="2"/>
        <v/>
      </c>
      <c r="Z44"/>
      <c r="AA44" s="23" t="s">
        <v>115</v>
      </c>
    </row>
    <row r="45" spans="1:27" ht="23.25" customHeight="1" x14ac:dyDescent="0.25">
      <c r="A45" s="1"/>
      <c r="B45" s="162" t="s">
        <v>3</v>
      </c>
      <c r="C45" s="163"/>
      <c r="D45" s="164"/>
      <c r="E45" s="164"/>
      <c r="F45" s="164"/>
      <c r="G45" s="164"/>
      <c r="H45" s="165"/>
      <c r="I45" s="166"/>
      <c r="J45" s="166"/>
      <c r="K45" s="1"/>
      <c r="Y45" s="5" t="str">
        <f t="shared" si="2"/>
        <v/>
      </c>
      <c r="Z45"/>
      <c r="AA45" s="23" t="s">
        <v>116</v>
      </c>
    </row>
    <row r="46" spans="1:27" ht="22.5" customHeight="1" x14ac:dyDescent="0.25">
      <c r="A46" s="1"/>
      <c r="B46" s="167"/>
      <c r="C46" s="168"/>
      <c r="D46" s="169"/>
      <c r="E46" s="169"/>
      <c r="F46" s="169"/>
      <c r="G46" s="169"/>
      <c r="H46" s="170"/>
      <c r="I46" s="171"/>
      <c r="J46" s="171"/>
      <c r="K46" s="1"/>
      <c r="Y46" s="5" t="str">
        <f t="shared" si="2"/>
        <v/>
      </c>
      <c r="Z46"/>
      <c r="AA46" s="23" t="s">
        <v>117</v>
      </c>
    </row>
    <row r="47" spans="1:27" ht="12" customHeight="1" x14ac:dyDescent="0.25">
      <c r="A47" s="1"/>
      <c r="B47" s="2"/>
      <c r="C47" s="3"/>
      <c r="D47" s="3"/>
      <c r="E47" s="3"/>
      <c r="F47" s="3"/>
      <c r="G47" s="3"/>
      <c r="H47" s="4"/>
      <c r="I47" s="3"/>
      <c r="J47" s="3"/>
      <c r="K47" s="1"/>
      <c r="Y47" s="5" t="str">
        <f t="shared" si="2"/>
        <v/>
      </c>
      <c r="Z47"/>
      <c r="AA47" s="23" t="s">
        <v>118</v>
      </c>
    </row>
    <row r="48" spans="1:27" ht="18" customHeight="1" x14ac:dyDescent="0.25">
      <c r="A48" s="1"/>
      <c r="B48" s="160" t="s">
        <v>119</v>
      </c>
      <c r="C48" s="160"/>
      <c r="D48" s="160"/>
      <c r="E48" s="160"/>
      <c r="F48" s="160"/>
      <c r="G48" s="160"/>
      <c r="H48" s="160"/>
      <c r="I48" s="160"/>
      <c r="J48" s="160"/>
      <c r="K48" s="1"/>
      <c r="Y48" s="5" t="str">
        <f t="shared" si="2"/>
        <v/>
      </c>
      <c r="Z48"/>
      <c r="AA48" s="7" t="s">
        <v>120</v>
      </c>
    </row>
    <row r="49" spans="1:27" ht="26.25" customHeight="1" x14ac:dyDescent="0.25">
      <c r="A49" s="1"/>
      <c r="B49" s="161" t="s">
        <v>121</v>
      </c>
      <c r="C49" s="161"/>
      <c r="D49" s="24">
        <v>211</v>
      </c>
      <c r="E49" s="3"/>
      <c r="F49" s="161" t="s">
        <v>122</v>
      </c>
      <c r="G49" s="161"/>
      <c r="H49" s="25">
        <v>2</v>
      </c>
      <c r="I49" s="3"/>
      <c r="J49" s="26"/>
      <c r="K49" s="1"/>
      <c r="Y49" s="5" t="str">
        <f t="shared" si="2"/>
        <v/>
      </c>
      <c r="Z49"/>
      <c r="AA49" s="7" t="s">
        <v>123</v>
      </c>
    </row>
    <row r="50" spans="1:27" ht="6.75" customHeight="1" x14ac:dyDescent="0.25">
      <c r="A50" s="1"/>
      <c r="B50" s="2"/>
      <c r="C50" s="3"/>
      <c r="D50" s="3"/>
      <c r="E50" s="3"/>
      <c r="F50" s="3"/>
      <c r="G50" s="3"/>
      <c r="H50" s="4"/>
      <c r="I50" s="3"/>
      <c r="J50" s="3"/>
      <c r="K50" s="1"/>
      <c r="Y50" s="5" t="str">
        <f t="shared" si="2"/>
        <v/>
      </c>
      <c r="Z50"/>
      <c r="AA50" s="7" t="s">
        <v>124</v>
      </c>
    </row>
    <row r="51" spans="1:27" ht="19.5" customHeight="1" x14ac:dyDescent="0.25">
      <c r="A51" s="1"/>
      <c r="B51" s="160" t="s">
        <v>125</v>
      </c>
      <c r="C51" s="160"/>
      <c r="D51" s="160"/>
      <c r="E51" s="160"/>
      <c r="F51" s="160"/>
      <c r="G51" s="160"/>
      <c r="H51" s="160"/>
      <c r="I51" s="160"/>
      <c r="J51" s="160"/>
      <c r="K51" s="1"/>
      <c r="Y51" s="5" t="str">
        <f t="shared" si="2"/>
        <v/>
      </c>
      <c r="Z51"/>
      <c r="AA51" s="7" t="s">
        <v>126</v>
      </c>
    </row>
    <row r="52" spans="1:27" ht="19.5" customHeight="1" x14ac:dyDescent="0.25">
      <c r="A52" s="1"/>
      <c r="B52" s="27" t="s">
        <v>127</v>
      </c>
      <c r="C52" s="28">
        <v>10</v>
      </c>
      <c r="D52" s="13" t="s">
        <v>128</v>
      </c>
      <c r="E52" s="153" t="s">
        <v>466</v>
      </c>
      <c r="F52" s="153"/>
      <c r="G52" s="27" t="s">
        <v>129</v>
      </c>
      <c r="H52" s="28">
        <v>34</v>
      </c>
      <c r="I52" s="13" t="s">
        <v>128</v>
      </c>
      <c r="J52" s="28" t="s">
        <v>470</v>
      </c>
      <c r="K52" s="1"/>
      <c r="Y52" s="5" t="str">
        <f t="shared" si="2"/>
        <v/>
      </c>
      <c r="Z52"/>
      <c r="AA52" s="23" t="s">
        <v>130</v>
      </c>
    </row>
    <row r="53" spans="1:27" ht="19.5" customHeight="1" x14ac:dyDescent="0.25">
      <c r="A53" s="1"/>
      <c r="B53" s="27" t="s">
        <v>131</v>
      </c>
      <c r="C53" s="28">
        <v>26</v>
      </c>
      <c r="D53" s="13" t="s">
        <v>128</v>
      </c>
      <c r="E53" s="153" t="s">
        <v>467</v>
      </c>
      <c r="F53" s="153"/>
      <c r="G53" s="27" t="s">
        <v>132</v>
      </c>
      <c r="H53" s="28">
        <v>65</v>
      </c>
      <c r="I53" s="13" t="s">
        <v>128</v>
      </c>
      <c r="J53" s="28" t="s">
        <v>471</v>
      </c>
      <c r="K53" s="1"/>
      <c r="Y53" s="5" t="str">
        <f t="shared" si="2"/>
        <v/>
      </c>
      <c r="Z53"/>
      <c r="AA53" s="7" t="s">
        <v>133</v>
      </c>
    </row>
    <row r="54" spans="1:27" ht="19.5" customHeight="1" x14ac:dyDescent="0.25">
      <c r="A54" s="1"/>
      <c r="B54" s="27" t="s">
        <v>134</v>
      </c>
      <c r="C54" s="28">
        <v>19</v>
      </c>
      <c r="D54" s="13" t="s">
        <v>128</v>
      </c>
      <c r="E54" s="153" t="s">
        <v>468</v>
      </c>
      <c r="F54" s="153"/>
      <c r="G54" s="27" t="s">
        <v>135</v>
      </c>
      <c r="H54" s="28"/>
      <c r="I54" s="13" t="s">
        <v>128</v>
      </c>
      <c r="J54" s="28"/>
      <c r="K54" s="1"/>
      <c r="Y54" s="5" t="str">
        <f t="shared" si="2"/>
        <v/>
      </c>
      <c r="Z54"/>
      <c r="AA54" s="7" t="s">
        <v>136</v>
      </c>
    </row>
    <row r="55" spans="1:27" ht="19.5" customHeight="1" x14ac:dyDescent="0.25">
      <c r="A55" s="1"/>
      <c r="B55" s="27" t="s">
        <v>137</v>
      </c>
      <c r="C55" s="28">
        <v>59</v>
      </c>
      <c r="D55" s="13" t="s">
        <v>128</v>
      </c>
      <c r="E55" s="153" t="s">
        <v>469</v>
      </c>
      <c r="F55" s="153"/>
      <c r="G55" s="27" t="s">
        <v>138</v>
      </c>
      <c r="H55" s="28"/>
      <c r="I55" s="13" t="s">
        <v>128</v>
      </c>
      <c r="J55" s="28"/>
      <c r="K55" s="1"/>
      <c r="Y55" s="5" t="str">
        <f t="shared" si="2"/>
        <v/>
      </c>
      <c r="Z55"/>
      <c r="AA55" s="7" t="s">
        <v>139</v>
      </c>
    </row>
    <row r="56" spans="1:27" ht="19.5" customHeight="1" x14ac:dyDescent="0.25">
      <c r="A56" s="1"/>
      <c r="B56" s="2"/>
      <c r="C56" s="3"/>
      <c r="D56" s="3"/>
      <c r="E56" s="3"/>
      <c r="F56" s="3"/>
      <c r="G56" s="3"/>
      <c r="H56" s="4"/>
      <c r="I56" s="3"/>
      <c r="J56" s="3"/>
      <c r="K56" s="1"/>
      <c r="Y56" s="5" t="str">
        <f t="shared" si="2"/>
        <v/>
      </c>
      <c r="Z56"/>
      <c r="AA56" s="7" t="s">
        <v>140</v>
      </c>
    </row>
    <row r="57" spans="1:27" ht="20.25" customHeight="1" x14ac:dyDescent="0.25">
      <c r="A57" s="1"/>
      <c r="B57" s="140" t="s">
        <v>141</v>
      </c>
      <c r="C57" s="140"/>
      <c r="D57" s="140"/>
      <c r="E57" s="140"/>
      <c r="F57" s="140"/>
      <c r="G57" s="140"/>
      <c r="H57" s="140"/>
      <c r="I57" s="3"/>
      <c r="J57" s="3"/>
      <c r="K57" s="1"/>
      <c r="Y57" s="5" t="str">
        <f t="shared" si="2"/>
        <v/>
      </c>
      <c r="Z57"/>
      <c r="AA57" s="7" t="s">
        <v>142</v>
      </c>
    </row>
    <row r="58" spans="1:27" ht="19.5" customHeight="1" x14ac:dyDescent="0.25">
      <c r="A58" s="1"/>
      <c r="B58" s="13" t="s">
        <v>88</v>
      </c>
      <c r="C58" s="159" t="s">
        <v>489</v>
      </c>
      <c r="D58" s="159"/>
      <c r="E58" s="159"/>
      <c r="F58" s="159"/>
      <c r="G58" s="15" t="s">
        <v>95</v>
      </c>
      <c r="H58" s="153" t="s">
        <v>494</v>
      </c>
      <c r="I58" s="153"/>
      <c r="J58" s="153"/>
      <c r="K58" s="1"/>
      <c r="Y58" s="5" t="str">
        <f t="shared" si="2"/>
        <v/>
      </c>
      <c r="Z58"/>
      <c r="AA58" s="7" t="s">
        <v>143</v>
      </c>
    </row>
    <row r="59" spans="1:27" ht="19.5" customHeight="1" x14ac:dyDescent="0.25">
      <c r="A59" s="1"/>
      <c r="B59" s="13" t="s">
        <v>91</v>
      </c>
      <c r="C59" s="157" t="s">
        <v>490</v>
      </c>
      <c r="D59" s="157"/>
      <c r="E59" s="157"/>
      <c r="F59" s="157"/>
      <c r="G59" s="15" t="s">
        <v>144</v>
      </c>
      <c r="H59" s="153" t="s">
        <v>495</v>
      </c>
      <c r="I59" s="153"/>
      <c r="J59" s="153"/>
      <c r="K59" s="1"/>
      <c r="Y59" s="5" t="str">
        <f t="shared" si="2"/>
        <v/>
      </c>
      <c r="Z59"/>
      <c r="AA59" s="7" t="s">
        <v>145</v>
      </c>
    </row>
    <row r="60" spans="1:27" ht="19.5" customHeight="1" x14ac:dyDescent="0.25">
      <c r="A60" s="1"/>
      <c r="B60" s="13" t="s">
        <v>94</v>
      </c>
      <c r="C60" s="157" t="s">
        <v>491</v>
      </c>
      <c r="D60" s="157"/>
      <c r="E60" s="157"/>
      <c r="F60" s="157"/>
      <c r="G60" s="15" t="s">
        <v>146</v>
      </c>
      <c r="H60" s="153" t="s">
        <v>496</v>
      </c>
      <c r="I60" s="153"/>
      <c r="J60" s="153"/>
      <c r="K60" s="1"/>
      <c r="Y60" s="5" t="str">
        <f t="shared" si="2"/>
        <v/>
      </c>
      <c r="Z60"/>
      <c r="AA60" s="7" t="s">
        <v>147</v>
      </c>
    </row>
    <row r="61" spans="1:27" ht="19.5" customHeight="1" x14ac:dyDescent="0.25">
      <c r="A61" s="1"/>
      <c r="B61" s="13" t="s">
        <v>148</v>
      </c>
      <c r="C61" s="157" t="s">
        <v>492</v>
      </c>
      <c r="D61" s="157"/>
      <c r="E61" s="157"/>
      <c r="F61" s="157"/>
      <c r="G61" s="15" t="s">
        <v>149</v>
      </c>
      <c r="H61" s="153" t="s">
        <v>497</v>
      </c>
      <c r="I61" s="153"/>
      <c r="J61" s="153"/>
      <c r="K61" s="1"/>
      <c r="Y61" s="5" t="str">
        <f t="shared" si="2"/>
        <v/>
      </c>
      <c r="Z61"/>
      <c r="AA61" s="7" t="s">
        <v>150</v>
      </c>
    </row>
    <row r="62" spans="1:27" ht="19.5" customHeight="1" x14ac:dyDescent="0.25">
      <c r="A62" s="1"/>
      <c r="B62" s="13" t="s">
        <v>151</v>
      </c>
      <c r="C62" s="158" t="s">
        <v>493</v>
      </c>
      <c r="D62" s="158"/>
      <c r="E62" s="158"/>
      <c r="F62" s="158"/>
      <c r="G62" s="15" t="s">
        <v>152</v>
      </c>
      <c r="H62" s="153" t="s">
        <v>498</v>
      </c>
      <c r="I62" s="153"/>
      <c r="J62" s="153"/>
      <c r="K62" s="1"/>
      <c r="Y62" s="5" t="str">
        <f t="shared" si="2"/>
        <v/>
      </c>
      <c r="Z62"/>
      <c r="AA62" s="7" t="s">
        <v>153</v>
      </c>
    </row>
    <row r="63" spans="1:27" ht="18" customHeight="1" x14ac:dyDescent="0.25">
      <c r="A63" s="1"/>
      <c r="B63" s="29"/>
      <c r="C63" s="30"/>
      <c r="D63" s="30"/>
      <c r="E63" s="30"/>
      <c r="F63" s="30"/>
      <c r="G63" s="30"/>
      <c r="H63" s="30"/>
      <c r="I63" s="30"/>
      <c r="J63" s="30"/>
      <c r="K63" s="1"/>
      <c r="Y63" s="5" t="str">
        <f t="shared" si="2"/>
        <v/>
      </c>
      <c r="Z63"/>
      <c r="AA63" s="7" t="s">
        <v>154</v>
      </c>
    </row>
    <row r="64" spans="1:27" ht="12.75" customHeight="1" x14ac:dyDescent="0.25">
      <c r="A64" s="1"/>
      <c r="B64" s="29"/>
      <c r="C64" s="30"/>
      <c r="D64" s="30"/>
      <c r="E64" s="30"/>
      <c r="F64" s="30"/>
      <c r="G64" s="30"/>
      <c r="H64" s="30"/>
      <c r="I64" s="30"/>
      <c r="J64" s="30"/>
      <c r="K64" s="1"/>
      <c r="Y64" s="5" t="str">
        <f t="shared" si="2"/>
        <v/>
      </c>
      <c r="Z64"/>
      <c r="AA64" s="7" t="s">
        <v>154</v>
      </c>
    </row>
    <row r="65" spans="1:27" ht="19.5" customHeight="1" x14ac:dyDescent="0.25">
      <c r="A65" s="1"/>
      <c r="B65" s="155" t="s">
        <v>155</v>
      </c>
      <c r="C65" s="155"/>
      <c r="D65" s="155"/>
      <c r="E65" s="155"/>
      <c r="F65" s="155"/>
      <c r="G65" s="155"/>
      <c r="H65" s="155"/>
      <c r="I65" s="155"/>
      <c r="J65" s="31" t="s">
        <v>156</v>
      </c>
      <c r="K65" s="1"/>
      <c r="Y65" s="5" t="str">
        <f t="shared" si="2"/>
        <v/>
      </c>
      <c r="Z65"/>
      <c r="AA65" s="7" t="s">
        <v>157</v>
      </c>
    </row>
    <row r="66" spans="1:27" ht="9.75" customHeight="1" x14ac:dyDescent="0.25">
      <c r="A66" s="1"/>
      <c r="B66" s="2"/>
      <c r="C66" s="3"/>
      <c r="D66" s="3"/>
      <c r="E66" s="3"/>
      <c r="F66" s="3"/>
      <c r="G66" s="3"/>
      <c r="H66" s="4"/>
      <c r="I66" s="3"/>
      <c r="J66" s="3"/>
      <c r="K66" s="1"/>
      <c r="Y66" s="5" t="str">
        <f t="shared" si="2"/>
        <v/>
      </c>
      <c r="Z66"/>
      <c r="AA66" s="7" t="s">
        <v>158</v>
      </c>
    </row>
    <row r="67" spans="1:27" ht="27.75" customHeight="1" x14ac:dyDescent="0.25">
      <c r="A67" s="1"/>
      <c r="B67" s="156" t="s">
        <v>159</v>
      </c>
      <c r="C67" s="4" t="s">
        <v>160</v>
      </c>
      <c r="D67" s="153" t="s">
        <v>499</v>
      </c>
      <c r="E67" s="153"/>
      <c r="F67" s="153"/>
      <c r="G67" s="13" t="s">
        <v>161</v>
      </c>
      <c r="H67" s="32" t="s">
        <v>500</v>
      </c>
      <c r="I67" s="4"/>
      <c r="J67" s="3"/>
      <c r="K67" s="1"/>
      <c r="Y67" s="5" t="str">
        <f t="shared" si="2"/>
        <v/>
      </c>
      <c r="Z67"/>
      <c r="AA67" s="7" t="s">
        <v>162</v>
      </c>
    </row>
    <row r="68" spans="1:27" ht="25.5" customHeight="1" x14ac:dyDescent="0.25">
      <c r="A68" s="1"/>
      <c r="B68" s="156"/>
      <c r="C68" s="4" t="s">
        <v>163</v>
      </c>
      <c r="D68" s="33">
        <v>44257</v>
      </c>
      <c r="E68" s="3"/>
      <c r="F68" s="3"/>
      <c r="G68" s="15"/>
      <c r="H68" s="4" t="s">
        <v>164</v>
      </c>
      <c r="I68" s="25"/>
      <c r="J68" s="3"/>
      <c r="K68" s="1"/>
      <c r="Y68" s="5" t="str">
        <f t="shared" si="2"/>
        <v/>
      </c>
      <c r="Z68"/>
      <c r="AA68" s="7" t="s">
        <v>165</v>
      </c>
    </row>
    <row r="69" spans="1:27" ht="15.75" customHeight="1" x14ac:dyDescent="0.25">
      <c r="A69" s="1"/>
      <c r="B69" s="2" t="s">
        <v>166</v>
      </c>
      <c r="C69" s="3"/>
      <c r="D69" s="3"/>
      <c r="E69" s="3"/>
      <c r="F69" s="3"/>
      <c r="G69" s="15"/>
      <c r="H69" s="4"/>
      <c r="I69" s="3"/>
      <c r="J69" s="3"/>
      <c r="K69" s="1"/>
      <c r="Y69" s="5" t="str">
        <f t="shared" si="2"/>
        <v/>
      </c>
      <c r="Z69"/>
      <c r="AA69" s="7" t="s">
        <v>167</v>
      </c>
    </row>
    <row r="70" spans="1:27" ht="29.25" customHeight="1" x14ac:dyDescent="0.25">
      <c r="A70" s="1"/>
      <c r="B70" s="156" t="s">
        <v>168</v>
      </c>
      <c r="C70" s="4" t="s">
        <v>160</v>
      </c>
      <c r="D70" s="153" t="s">
        <v>501</v>
      </c>
      <c r="E70" s="153"/>
      <c r="F70" s="153"/>
      <c r="G70" s="13" t="s">
        <v>161</v>
      </c>
      <c r="H70" s="32"/>
      <c r="I70" s="4"/>
      <c r="J70" s="3"/>
      <c r="K70" s="1"/>
      <c r="Y70" s="5" t="str">
        <f t="shared" si="2"/>
        <v/>
      </c>
      <c r="Z70"/>
      <c r="AA70" s="7" t="s">
        <v>169</v>
      </c>
    </row>
    <row r="71" spans="1:27" ht="25.5" customHeight="1" x14ac:dyDescent="0.25">
      <c r="A71" s="1"/>
      <c r="B71" s="156"/>
      <c r="C71" s="4" t="s">
        <v>163</v>
      </c>
      <c r="D71" s="33"/>
      <c r="E71" s="3"/>
      <c r="F71" s="3"/>
      <c r="G71" s="15"/>
      <c r="H71" s="4"/>
      <c r="I71" s="4"/>
      <c r="J71" s="3"/>
      <c r="K71" s="1"/>
      <c r="Y71" s="5" t="str">
        <f t="shared" si="2"/>
        <v/>
      </c>
      <c r="Z71"/>
      <c r="AA71" s="7" t="s">
        <v>170</v>
      </c>
    </row>
    <row r="72" spans="1:27" ht="12" customHeight="1" x14ac:dyDescent="0.25">
      <c r="A72" s="1"/>
      <c r="B72" s="34"/>
      <c r="C72" s="34"/>
      <c r="D72" s="34"/>
      <c r="E72" s="34"/>
      <c r="F72" s="34"/>
      <c r="G72" s="27"/>
      <c r="H72" s="34"/>
      <c r="I72" s="4"/>
      <c r="J72" s="34"/>
      <c r="K72" s="1"/>
      <c r="Y72" s="5" t="str">
        <f t="shared" si="2"/>
        <v/>
      </c>
      <c r="Z72"/>
      <c r="AA72" s="7" t="s">
        <v>171</v>
      </c>
    </row>
    <row r="73" spans="1:27" ht="27" customHeight="1" x14ac:dyDescent="0.25">
      <c r="A73" s="1"/>
      <c r="B73" s="156" t="s">
        <v>172</v>
      </c>
      <c r="C73" s="4" t="s">
        <v>160</v>
      </c>
      <c r="D73" s="153" t="s">
        <v>499</v>
      </c>
      <c r="E73" s="153"/>
      <c r="F73" s="153"/>
      <c r="G73" s="13" t="s">
        <v>161</v>
      </c>
      <c r="H73" s="32">
        <v>47</v>
      </c>
      <c r="I73" s="4"/>
      <c r="J73" s="3"/>
      <c r="K73" s="1"/>
      <c r="Y73" s="5" t="str">
        <f t="shared" si="2"/>
        <v/>
      </c>
      <c r="Z73"/>
      <c r="AA73" s="7" t="s">
        <v>173</v>
      </c>
    </row>
    <row r="74" spans="1:27" ht="28.5" customHeight="1" x14ac:dyDescent="0.25">
      <c r="A74" s="1"/>
      <c r="B74" s="156"/>
      <c r="C74" s="4" t="s">
        <v>163</v>
      </c>
      <c r="D74" s="33">
        <v>44256</v>
      </c>
      <c r="E74" s="3"/>
      <c r="F74" s="3"/>
      <c r="G74" s="15"/>
      <c r="H74" s="4"/>
      <c r="I74" s="4"/>
      <c r="J74" s="3"/>
      <c r="K74" s="1"/>
      <c r="Y74" s="5" t="str">
        <f t="shared" si="2"/>
        <v/>
      </c>
      <c r="Z74"/>
      <c r="AA74" s="7" t="s">
        <v>174</v>
      </c>
    </row>
    <row r="75" spans="1:27" ht="12" customHeight="1" x14ac:dyDescent="0.25">
      <c r="A75" s="1"/>
      <c r="B75" s="2"/>
      <c r="C75" s="3"/>
      <c r="D75" s="3"/>
      <c r="E75" s="3"/>
      <c r="F75" s="3"/>
      <c r="G75" s="15"/>
      <c r="H75" s="4"/>
      <c r="I75" s="3"/>
      <c r="J75" s="3"/>
      <c r="K75" s="1"/>
      <c r="Y75" s="5" t="str">
        <f t="shared" si="2"/>
        <v/>
      </c>
      <c r="Z75"/>
      <c r="AA75" s="7" t="s">
        <v>175</v>
      </c>
    </row>
    <row r="76" spans="1:27" ht="28.5" customHeight="1" x14ac:dyDescent="0.25">
      <c r="A76" s="1"/>
      <c r="B76" s="152"/>
      <c r="C76" s="4" t="s">
        <v>160</v>
      </c>
      <c r="D76" s="153"/>
      <c r="E76" s="153"/>
      <c r="F76" s="153"/>
      <c r="G76" s="13" t="s">
        <v>161</v>
      </c>
      <c r="H76" s="32"/>
      <c r="I76" s="4"/>
      <c r="J76" s="4"/>
      <c r="K76" s="1"/>
      <c r="Y76" s="5" t="str">
        <f t="shared" si="2"/>
        <v/>
      </c>
      <c r="Z76"/>
      <c r="AA76" s="7" t="s">
        <v>176</v>
      </c>
    </row>
    <row r="77" spans="1:27" ht="28.5" customHeight="1" x14ac:dyDescent="0.25">
      <c r="A77" s="1"/>
      <c r="B77" s="152"/>
      <c r="C77" s="4" t="s">
        <v>163</v>
      </c>
      <c r="D77" s="33"/>
      <c r="E77" s="3"/>
      <c r="F77" s="3"/>
      <c r="G77" s="15"/>
      <c r="H77" s="4"/>
      <c r="I77" s="4"/>
      <c r="J77" s="3"/>
      <c r="K77" s="1"/>
      <c r="Y77" s="5" t="str">
        <f t="shared" si="2"/>
        <v/>
      </c>
      <c r="Z77"/>
      <c r="AA77" s="7" t="s">
        <v>177</v>
      </c>
    </row>
    <row r="78" spans="1:27" ht="17.25" customHeight="1" x14ac:dyDescent="0.25">
      <c r="A78" s="1"/>
      <c r="B78" s="29"/>
      <c r="C78" s="30"/>
      <c r="D78" s="30"/>
      <c r="E78" s="30"/>
      <c r="F78" s="30"/>
      <c r="G78" s="30"/>
      <c r="H78" s="30"/>
      <c r="I78" s="30"/>
      <c r="J78" s="30"/>
      <c r="K78" s="1"/>
      <c r="Y78" s="5" t="str">
        <f t="shared" si="2"/>
        <v/>
      </c>
      <c r="Z78"/>
      <c r="AA78" s="7" t="s">
        <v>178</v>
      </c>
    </row>
    <row r="79" spans="1:27" ht="18.75" customHeight="1" x14ac:dyDescent="0.25">
      <c r="A79" s="1"/>
      <c r="B79" s="135" t="s">
        <v>179</v>
      </c>
      <c r="C79" s="135"/>
      <c r="D79" s="135"/>
      <c r="E79" s="135"/>
      <c r="F79" s="135"/>
      <c r="G79" s="135"/>
      <c r="H79" s="135"/>
      <c r="I79" s="135"/>
      <c r="J79" s="135"/>
      <c r="K79" s="1"/>
      <c r="Y79" s="5" t="str">
        <f t="shared" si="2"/>
        <v/>
      </c>
      <c r="Z79"/>
      <c r="AA79" s="7" t="s">
        <v>180</v>
      </c>
    </row>
    <row r="80" spans="1:27" ht="15" customHeight="1" x14ac:dyDescent="0.25">
      <c r="A80" s="1"/>
      <c r="B80" s="29"/>
      <c r="C80" s="30"/>
      <c r="D80" s="30"/>
      <c r="E80" s="30"/>
      <c r="F80" s="30"/>
      <c r="G80" s="30"/>
      <c r="H80" s="30"/>
      <c r="I80" s="30"/>
      <c r="J80" s="30"/>
      <c r="K80" s="1"/>
      <c r="Y80" s="5" t="str">
        <f t="shared" si="2"/>
        <v/>
      </c>
      <c r="Z80"/>
      <c r="AA80" s="7" t="s">
        <v>181</v>
      </c>
    </row>
    <row r="81" spans="1:27" ht="18.75" customHeight="1" x14ac:dyDescent="0.25">
      <c r="A81" s="1"/>
      <c r="B81" s="154" t="s">
        <v>182</v>
      </c>
      <c r="C81" s="154"/>
      <c r="D81" s="154"/>
      <c r="E81" s="154"/>
      <c r="F81" s="154"/>
      <c r="G81" s="154"/>
      <c r="H81" s="154"/>
      <c r="I81" s="154"/>
      <c r="J81" s="35" t="s">
        <v>183</v>
      </c>
      <c r="K81" s="1"/>
      <c r="Y81" s="5" t="str">
        <f t="shared" si="2"/>
        <v/>
      </c>
      <c r="Z81"/>
      <c r="AA81" s="7" t="s">
        <v>184</v>
      </c>
    </row>
    <row r="82" spans="1:27" ht="7.5" customHeight="1" x14ac:dyDescent="0.25">
      <c r="A82" s="1"/>
      <c r="B82" s="2"/>
      <c r="C82" s="3"/>
      <c r="D82" s="3"/>
      <c r="E82" s="3"/>
      <c r="F82" s="3"/>
      <c r="G82" s="3"/>
      <c r="H82" s="4"/>
      <c r="I82" s="3"/>
      <c r="J82" s="3"/>
      <c r="K82" s="1"/>
      <c r="Y82" s="5" t="str">
        <f t="shared" si="2"/>
        <v/>
      </c>
      <c r="Z82"/>
      <c r="AA82" s="7" t="s">
        <v>185</v>
      </c>
    </row>
    <row r="83" spans="1:27" ht="16.5" customHeight="1" x14ac:dyDescent="0.25">
      <c r="A83" s="1"/>
      <c r="B83" s="140" t="s">
        <v>186</v>
      </c>
      <c r="C83" s="140"/>
      <c r="D83" s="140"/>
      <c r="E83" s="140"/>
      <c r="F83" s="140"/>
      <c r="G83" s="140"/>
      <c r="H83" s="140"/>
      <c r="I83" s="140"/>
      <c r="J83" s="140"/>
      <c r="K83" s="1"/>
      <c r="Y83" s="5" t="str">
        <f t="shared" si="2"/>
        <v/>
      </c>
      <c r="Z83"/>
      <c r="AA83" s="7" t="s">
        <v>187</v>
      </c>
    </row>
    <row r="84" spans="1:27" ht="42.75" customHeight="1" x14ac:dyDescent="0.25">
      <c r="A84" s="1"/>
      <c r="B84" s="2"/>
      <c r="C84" s="21"/>
      <c r="D84" s="21"/>
      <c r="E84" s="36" t="s">
        <v>188</v>
      </c>
      <c r="F84" s="36" t="s">
        <v>189</v>
      </c>
      <c r="G84" s="4"/>
      <c r="H84" s="4"/>
      <c r="I84" s="3"/>
      <c r="J84" s="3"/>
      <c r="K84" s="1"/>
      <c r="Y84" s="5" t="str">
        <f t="shared" si="2"/>
        <v/>
      </c>
      <c r="Z84"/>
      <c r="AA84" s="7" t="s">
        <v>190</v>
      </c>
    </row>
    <row r="85" spans="1:27" ht="18.75" customHeight="1" x14ac:dyDescent="0.25">
      <c r="A85" s="1"/>
      <c r="B85" s="2"/>
      <c r="C85" s="27" t="s">
        <v>191</v>
      </c>
      <c r="D85" s="37">
        <v>2019</v>
      </c>
      <c r="E85" s="38">
        <v>80582324.849999994</v>
      </c>
      <c r="F85" s="38">
        <v>1377815.96</v>
      </c>
      <c r="G85" s="4"/>
      <c r="H85" s="4"/>
      <c r="I85" s="3"/>
      <c r="J85" s="3"/>
      <c r="K85" s="1"/>
      <c r="Y85" s="5" t="str">
        <f t="shared" si="2"/>
        <v/>
      </c>
      <c r="Z85"/>
      <c r="AA85" s="7" t="s">
        <v>192</v>
      </c>
    </row>
    <row r="86" spans="1:27" ht="17.25" customHeight="1" x14ac:dyDescent="0.25">
      <c r="A86" s="1"/>
      <c r="B86" s="2"/>
      <c r="C86" s="27" t="s">
        <v>191</v>
      </c>
      <c r="D86" s="37">
        <v>2018</v>
      </c>
      <c r="E86" s="38">
        <v>54965395.030000001</v>
      </c>
      <c r="F86" s="38">
        <v>1411376.17</v>
      </c>
      <c r="G86" s="4"/>
      <c r="H86" s="4"/>
      <c r="I86" s="3"/>
      <c r="J86" s="3"/>
      <c r="K86" s="1"/>
      <c r="Y86" s="5" t="str">
        <f t="shared" si="2"/>
        <v/>
      </c>
      <c r="Z86"/>
      <c r="AA86" s="7" t="s">
        <v>193</v>
      </c>
    </row>
    <row r="87" spans="1:27" ht="18.75" customHeight="1" x14ac:dyDescent="0.25">
      <c r="A87" s="1"/>
      <c r="B87" s="2"/>
      <c r="C87" s="27" t="s">
        <v>191</v>
      </c>
      <c r="D87" s="37">
        <v>2017</v>
      </c>
      <c r="E87" s="38">
        <v>30182725.82</v>
      </c>
      <c r="F87" s="38">
        <v>1336859.28</v>
      </c>
      <c r="G87" s="4"/>
      <c r="H87" s="4"/>
      <c r="I87" s="3"/>
      <c r="J87" s="3"/>
      <c r="K87" s="1"/>
      <c r="Y87" s="5" t="str">
        <f t="shared" si="2"/>
        <v/>
      </c>
      <c r="Z87"/>
      <c r="AA87" s="7" t="s">
        <v>194</v>
      </c>
    </row>
    <row r="88" spans="1:27" ht="10.5" customHeight="1" x14ac:dyDescent="0.25">
      <c r="A88" s="1"/>
      <c r="B88" s="2"/>
      <c r="C88" s="3"/>
      <c r="D88" s="3"/>
      <c r="E88" s="3"/>
      <c r="F88" s="3"/>
      <c r="G88" s="3"/>
      <c r="H88" s="4"/>
      <c r="I88" s="3"/>
      <c r="J88" s="3"/>
      <c r="K88" s="1"/>
      <c r="Y88" s="5" t="str">
        <f t="shared" si="2"/>
        <v/>
      </c>
      <c r="Z88"/>
      <c r="AA88" s="7" t="s">
        <v>195</v>
      </c>
    </row>
    <row r="89" spans="1:27" ht="17.25" customHeight="1" x14ac:dyDescent="0.25">
      <c r="A89" s="1"/>
      <c r="B89" s="140" t="s">
        <v>186</v>
      </c>
      <c r="C89" s="140"/>
      <c r="D89" s="140"/>
      <c r="E89" s="140"/>
      <c r="F89" s="140"/>
      <c r="G89" s="140"/>
      <c r="H89" s="140"/>
      <c r="I89" s="140"/>
      <c r="J89" s="140"/>
      <c r="K89" s="1"/>
      <c r="Y89" s="5" t="str">
        <f t="shared" si="2"/>
        <v/>
      </c>
      <c r="Z89"/>
      <c r="AA89" s="23" t="s">
        <v>196</v>
      </c>
    </row>
    <row r="90" spans="1:27" ht="41.25" customHeight="1" x14ac:dyDescent="0.25">
      <c r="A90" s="1"/>
      <c r="B90" s="21"/>
      <c r="C90" s="21"/>
      <c r="D90" s="36" t="s">
        <v>197</v>
      </c>
      <c r="E90" s="36" t="s">
        <v>198</v>
      </c>
      <c r="F90" s="36" t="s">
        <v>199</v>
      </c>
      <c r="G90" s="36" t="s">
        <v>200</v>
      </c>
      <c r="H90" s="36" t="s">
        <v>201</v>
      </c>
      <c r="I90" s="3"/>
      <c r="J90" s="3"/>
      <c r="K90" s="1"/>
      <c r="Y90" s="5" t="str">
        <f t="shared" si="2"/>
        <v/>
      </c>
      <c r="Z90"/>
      <c r="AA90" s="7" t="s">
        <v>202</v>
      </c>
    </row>
    <row r="91" spans="1:27" ht="14.25" customHeight="1" x14ac:dyDescent="0.25">
      <c r="A91" s="1"/>
      <c r="B91" s="27" t="s">
        <v>191</v>
      </c>
      <c r="C91" s="37">
        <v>2019</v>
      </c>
      <c r="D91" s="38">
        <v>33928229.909999996</v>
      </c>
      <c r="E91" s="38">
        <v>32978382.809999999</v>
      </c>
      <c r="F91" s="39">
        <v>1598449.27</v>
      </c>
      <c r="G91" s="39">
        <v>6454958.6699999999</v>
      </c>
      <c r="H91" s="38">
        <v>1791344.42</v>
      </c>
      <c r="I91" s="3"/>
      <c r="J91" s="3"/>
      <c r="K91" s="1"/>
      <c r="Y91" s="5" t="str">
        <f t="shared" si="2"/>
        <v/>
      </c>
      <c r="Z91"/>
      <c r="AA91" s="7" t="s">
        <v>203</v>
      </c>
    </row>
    <row r="92" spans="1:27" ht="14.25" customHeight="1" x14ac:dyDescent="0.25">
      <c r="A92" s="1"/>
      <c r="B92" s="27" t="s">
        <v>191</v>
      </c>
      <c r="C92" s="37">
        <v>2018</v>
      </c>
      <c r="D92" s="38">
        <v>24768948.699999999</v>
      </c>
      <c r="E92" s="38">
        <v>23446578.02</v>
      </c>
      <c r="F92" s="39">
        <v>755106.86</v>
      </c>
      <c r="G92" s="39">
        <v>5585534.1500000004</v>
      </c>
      <c r="H92" s="38">
        <v>2337542.8199999998</v>
      </c>
      <c r="I92" s="3"/>
      <c r="J92" s="3"/>
      <c r="K92" s="1"/>
      <c r="Y92" s="5" t="str">
        <f t="shared" si="2"/>
        <v/>
      </c>
      <c r="Z92"/>
      <c r="AA92" s="7" t="s">
        <v>204</v>
      </c>
    </row>
    <row r="93" spans="1:27" ht="14.25" customHeight="1" x14ac:dyDescent="0.25">
      <c r="A93" s="1"/>
      <c r="B93" s="27" t="s">
        <v>191</v>
      </c>
      <c r="C93" s="37">
        <v>2017</v>
      </c>
      <c r="D93" s="38">
        <v>14118533.07</v>
      </c>
      <c r="E93" s="38">
        <v>15008993.82</v>
      </c>
      <c r="F93" s="39">
        <v>129614.88</v>
      </c>
      <c r="G93" s="39">
        <v>5203699.38</v>
      </c>
      <c r="H93" s="38">
        <v>2114383.91</v>
      </c>
      <c r="I93" s="3"/>
      <c r="J93" s="3"/>
      <c r="K93" s="1"/>
      <c r="Y93" s="5" t="str">
        <f t="shared" si="2"/>
        <v/>
      </c>
      <c r="Z93"/>
      <c r="AA93" s="7" t="s">
        <v>205</v>
      </c>
    </row>
    <row r="94" spans="1:27" ht="13.5" customHeight="1" x14ac:dyDescent="0.25">
      <c r="A94" s="1"/>
      <c r="B94" s="4"/>
      <c r="C94" s="13"/>
      <c r="D94" s="13"/>
      <c r="E94" s="13"/>
      <c r="F94" s="13"/>
      <c r="G94" s="13"/>
      <c r="H94" s="13"/>
      <c r="I94" s="13"/>
      <c r="J94" s="13"/>
      <c r="K94" s="1"/>
      <c r="Y94" s="5" t="str">
        <f t="shared" si="2"/>
        <v/>
      </c>
      <c r="Z94"/>
      <c r="AA94" s="7" t="s">
        <v>206</v>
      </c>
    </row>
    <row r="95" spans="1:27" ht="17.25" customHeight="1" x14ac:dyDescent="0.25">
      <c r="A95" s="1"/>
      <c r="B95" s="135" t="s">
        <v>207</v>
      </c>
      <c r="C95" s="135"/>
      <c r="D95" s="135"/>
      <c r="E95" s="135"/>
      <c r="F95" s="135"/>
      <c r="G95" s="135"/>
      <c r="H95" s="40"/>
      <c r="I95" s="40"/>
      <c r="J95" s="40"/>
      <c r="K95" s="1"/>
      <c r="Y95" s="5" t="str">
        <f t="shared" si="2"/>
        <v/>
      </c>
      <c r="Z95"/>
      <c r="AA95" s="7" t="s">
        <v>208</v>
      </c>
    </row>
    <row r="96" spans="1:27" ht="6.75" customHeight="1" x14ac:dyDescent="0.25">
      <c r="A96" s="1"/>
      <c r="B96" s="41"/>
      <c r="C96" s="42"/>
      <c r="D96" s="42"/>
      <c r="E96" s="42"/>
      <c r="F96" s="42"/>
      <c r="G96" s="42"/>
      <c r="H96" s="43"/>
      <c r="I96" s="42"/>
      <c r="J96" s="42"/>
      <c r="K96" s="1"/>
      <c r="Y96" s="5" t="str">
        <f t="shared" si="2"/>
        <v/>
      </c>
      <c r="Z96"/>
      <c r="AA96" s="7" t="s">
        <v>209</v>
      </c>
    </row>
    <row r="97" spans="1:27" ht="17.25" customHeight="1" x14ac:dyDescent="0.25">
      <c r="A97" s="1"/>
      <c r="B97" s="41"/>
      <c r="C97" s="136"/>
      <c r="D97" s="136"/>
      <c r="E97" s="136"/>
      <c r="F97" s="136"/>
      <c r="G97" s="136"/>
      <c r="H97" s="136"/>
      <c r="I97" s="136"/>
      <c r="J97" s="136"/>
      <c r="K97" s="1"/>
      <c r="Y97" s="5" t="str">
        <f t="shared" si="2"/>
        <v/>
      </c>
      <c r="Z97"/>
      <c r="AA97" s="7" t="s">
        <v>210</v>
      </c>
    </row>
    <row r="98" spans="1:27" ht="18" customHeight="1" x14ac:dyDescent="0.25">
      <c r="A98" s="1"/>
      <c r="B98" s="41"/>
      <c r="C98" s="136"/>
      <c r="D98" s="136"/>
      <c r="E98" s="136"/>
      <c r="F98" s="136"/>
      <c r="G98" s="136"/>
      <c r="H98" s="136"/>
      <c r="I98" s="136"/>
      <c r="J98" s="136"/>
      <c r="K98" s="1"/>
      <c r="Y98" s="5" t="str">
        <f t="shared" si="2"/>
        <v/>
      </c>
      <c r="Z98"/>
      <c r="AA98" s="7" t="s">
        <v>211</v>
      </c>
    </row>
    <row r="99" spans="1:27" ht="17.25" customHeight="1" x14ac:dyDescent="0.25">
      <c r="A99" s="1"/>
      <c r="B99" s="41"/>
      <c r="C99" s="136"/>
      <c r="D99" s="136"/>
      <c r="E99" s="136"/>
      <c r="F99" s="136"/>
      <c r="G99" s="136"/>
      <c r="H99" s="136"/>
      <c r="I99" s="136"/>
      <c r="J99" s="136"/>
      <c r="K99" s="1"/>
      <c r="Y99" s="5" t="str">
        <f t="shared" si="2"/>
        <v/>
      </c>
      <c r="Z99"/>
      <c r="AA99" s="7" t="s">
        <v>212</v>
      </c>
    </row>
    <row r="100" spans="1:27" ht="12" customHeight="1" x14ac:dyDescent="0.25">
      <c r="A100" s="1"/>
      <c r="B100" s="2"/>
      <c r="C100" s="3"/>
      <c r="D100" s="3"/>
      <c r="E100" s="3"/>
      <c r="F100" s="3"/>
      <c r="G100" s="3"/>
      <c r="H100" s="4"/>
      <c r="I100" s="3"/>
      <c r="J100" s="3"/>
      <c r="K100" s="1"/>
      <c r="Y100" s="5" t="str">
        <f t="shared" si="2"/>
        <v/>
      </c>
      <c r="Z100"/>
      <c r="AA100" s="7" t="s">
        <v>213</v>
      </c>
    </row>
    <row r="101" spans="1:27" ht="19.5" customHeight="1" x14ac:dyDescent="0.25">
      <c r="A101" s="1"/>
      <c r="B101" s="151" t="s">
        <v>214</v>
      </c>
      <c r="C101" s="151"/>
      <c r="D101" s="151"/>
      <c r="E101" s="151"/>
      <c r="F101" s="151"/>
      <c r="G101" s="151"/>
      <c r="H101" s="151"/>
      <c r="I101" s="151" t="s">
        <v>183</v>
      </c>
      <c r="J101" s="44" t="s">
        <v>215</v>
      </c>
      <c r="K101" s="1"/>
      <c r="Y101" s="5" t="str">
        <f t="shared" si="2"/>
        <v/>
      </c>
      <c r="Z101"/>
      <c r="AA101" s="7" t="s">
        <v>216</v>
      </c>
    </row>
    <row r="102" spans="1:27" ht="5.25" customHeight="1" x14ac:dyDescent="0.25">
      <c r="A102" s="1"/>
      <c r="B102" s="2"/>
      <c r="C102" s="3"/>
      <c r="D102" s="3"/>
      <c r="E102" s="3"/>
      <c r="F102" s="3"/>
      <c r="G102" s="3"/>
      <c r="H102" s="4"/>
      <c r="I102" s="3"/>
      <c r="J102" s="3"/>
      <c r="K102" s="1"/>
      <c r="Y102" s="5" t="str">
        <f t="shared" si="2"/>
        <v/>
      </c>
      <c r="Z102"/>
      <c r="AA102" s="7" t="s">
        <v>217</v>
      </c>
    </row>
    <row r="103" spans="1:27" ht="21" customHeight="1" x14ac:dyDescent="0.25">
      <c r="A103" s="1"/>
      <c r="B103" s="45"/>
      <c r="C103" s="26"/>
      <c r="D103" s="46"/>
      <c r="E103" s="46"/>
      <c r="F103" s="26"/>
      <c r="G103" s="46" t="s">
        <v>218</v>
      </c>
      <c r="H103" s="46" t="s">
        <v>219</v>
      </c>
      <c r="I103" s="147" t="s">
        <v>220</v>
      </c>
      <c r="J103" s="147"/>
      <c r="K103" s="1"/>
      <c r="Y103" s="5" t="str">
        <f t="shared" si="2"/>
        <v/>
      </c>
      <c r="Z103"/>
      <c r="AA103" s="7" t="s">
        <v>221</v>
      </c>
    </row>
    <row r="104" spans="1:27" ht="18" customHeight="1" x14ac:dyDescent="0.25">
      <c r="A104" s="1"/>
      <c r="B104" s="137" t="s">
        <v>222</v>
      </c>
      <c r="C104" s="137"/>
      <c r="D104" s="137"/>
      <c r="E104" s="137"/>
      <c r="F104" s="137"/>
      <c r="G104" s="47" t="s">
        <v>502</v>
      </c>
      <c r="H104" s="48"/>
      <c r="K104" s="1"/>
      <c r="Y104" s="5" t="str">
        <f t="shared" si="2"/>
        <v/>
      </c>
      <c r="Z104"/>
      <c r="AA104" s="7" t="s">
        <v>223</v>
      </c>
    </row>
    <row r="105" spans="1:27" ht="1.5" customHeight="1" x14ac:dyDescent="0.25">
      <c r="A105" s="1"/>
      <c r="B105" s="2"/>
      <c r="C105" s="3"/>
      <c r="D105" s="3"/>
      <c r="E105" s="3"/>
      <c r="F105" s="3"/>
      <c r="G105" s="49"/>
      <c r="H105" s="50"/>
      <c r="I105" s="3"/>
      <c r="J105" s="3"/>
      <c r="K105" s="1"/>
      <c r="Y105" s="5" t="str">
        <f t="shared" ref="Y105:Y168" si="3">+SUBSTITUTE(Z105," ","_")</f>
        <v/>
      </c>
      <c r="Z105"/>
      <c r="AA105" s="7" t="s">
        <v>224</v>
      </c>
    </row>
    <row r="106" spans="1:27" ht="18" customHeight="1" x14ac:dyDescent="0.25">
      <c r="A106" s="1"/>
      <c r="B106" s="137" t="s">
        <v>225</v>
      </c>
      <c r="C106" s="137"/>
      <c r="D106" s="137"/>
      <c r="E106" s="137"/>
      <c r="F106" s="137"/>
      <c r="G106" s="47" t="s">
        <v>502</v>
      </c>
      <c r="H106" s="48"/>
      <c r="I106" s="138"/>
      <c r="J106" s="139"/>
      <c r="K106" s="1"/>
      <c r="Y106" s="5" t="str">
        <f t="shared" si="3"/>
        <v/>
      </c>
      <c r="Z106"/>
      <c r="AA106" s="7" t="s">
        <v>226</v>
      </c>
    </row>
    <row r="107" spans="1:27" ht="1.5" customHeight="1" x14ac:dyDescent="0.25">
      <c r="A107" s="1"/>
      <c r="B107" s="2"/>
      <c r="C107" s="3"/>
      <c r="D107" s="3"/>
      <c r="E107" s="3"/>
      <c r="F107" s="3"/>
      <c r="G107" s="49"/>
      <c r="H107" s="50"/>
      <c r="I107" s="3"/>
      <c r="J107" s="3"/>
      <c r="K107" s="1"/>
      <c r="Y107" s="5" t="str">
        <f t="shared" si="3"/>
        <v/>
      </c>
      <c r="Z107"/>
      <c r="AA107" s="7" t="s">
        <v>224</v>
      </c>
    </row>
    <row r="108" spans="1:27" ht="15.75" customHeight="1" x14ac:dyDescent="0.25">
      <c r="A108" s="1"/>
      <c r="B108" s="137" t="s">
        <v>227</v>
      </c>
      <c r="C108" s="137"/>
      <c r="D108" s="137"/>
      <c r="E108" s="137"/>
      <c r="F108" s="137"/>
      <c r="G108" s="47" t="s">
        <v>502</v>
      </c>
      <c r="H108" s="48"/>
      <c r="I108" s="138"/>
      <c r="J108" s="139"/>
      <c r="K108" s="1"/>
      <c r="Y108" s="5" t="str">
        <f t="shared" si="3"/>
        <v/>
      </c>
      <c r="Z108"/>
      <c r="AA108" s="7" t="s">
        <v>228</v>
      </c>
    </row>
    <row r="109" spans="1:27" ht="1.5" customHeight="1" x14ac:dyDescent="0.25">
      <c r="A109" s="1"/>
      <c r="B109" s="2"/>
      <c r="C109" s="3"/>
      <c r="D109" s="3"/>
      <c r="E109" s="3"/>
      <c r="F109" s="3"/>
      <c r="G109" s="49"/>
      <c r="H109" s="50"/>
      <c r="I109" s="3"/>
      <c r="J109" s="3"/>
      <c r="K109" s="1"/>
      <c r="Y109" s="5" t="str">
        <f t="shared" si="3"/>
        <v/>
      </c>
      <c r="Z109"/>
      <c r="AA109" s="7" t="s">
        <v>224</v>
      </c>
    </row>
    <row r="110" spans="1:27" ht="17.25" customHeight="1" x14ac:dyDescent="0.25">
      <c r="A110" s="1"/>
      <c r="B110" s="137" t="s">
        <v>229</v>
      </c>
      <c r="C110" s="137"/>
      <c r="D110" s="137"/>
      <c r="E110" s="137"/>
      <c r="F110" s="137"/>
      <c r="G110" s="47" t="s">
        <v>502</v>
      </c>
      <c r="H110" s="48"/>
      <c r="I110" s="138"/>
      <c r="J110" s="139"/>
      <c r="K110" s="1"/>
      <c r="Y110" s="5" t="str">
        <f t="shared" si="3"/>
        <v/>
      </c>
      <c r="Z110"/>
      <c r="AA110" s="7" t="s">
        <v>230</v>
      </c>
    </row>
    <row r="111" spans="1:27" ht="1.5" customHeight="1" x14ac:dyDescent="0.25">
      <c r="A111" s="1"/>
      <c r="B111" s="2"/>
      <c r="C111" s="3"/>
      <c r="D111" s="3"/>
      <c r="E111" s="3"/>
      <c r="F111" s="3"/>
      <c r="G111" s="49"/>
      <c r="H111" s="50"/>
      <c r="I111" s="3"/>
      <c r="J111" s="3"/>
      <c r="K111" s="1"/>
      <c r="Y111" s="5" t="str">
        <f t="shared" si="3"/>
        <v/>
      </c>
      <c r="Z111"/>
      <c r="AA111" s="7" t="s">
        <v>224</v>
      </c>
    </row>
    <row r="112" spans="1:27" ht="18" customHeight="1" x14ac:dyDescent="0.25">
      <c r="A112" s="1"/>
      <c r="B112" s="137" t="s">
        <v>231</v>
      </c>
      <c r="C112" s="137"/>
      <c r="D112" s="137"/>
      <c r="E112" s="137"/>
      <c r="F112" s="137"/>
      <c r="G112" s="47" t="s">
        <v>502</v>
      </c>
      <c r="H112" s="48"/>
      <c r="I112" s="138" t="s">
        <v>232</v>
      </c>
      <c r="J112" s="139"/>
      <c r="K112" s="1"/>
      <c r="Y112" s="5" t="str">
        <f t="shared" si="3"/>
        <v/>
      </c>
      <c r="Z112"/>
      <c r="AA112" s="7" t="s">
        <v>233</v>
      </c>
    </row>
    <row r="113" spans="1:27" ht="14.25" customHeight="1" x14ac:dyDescent="0.25">
      <c r="A113" s="1"/>
      <c r="B113" s="2"/>
      <c r="C113" s="3"/>
      <c r="D113" s="3"/>
      <c r="E113" s="3"/>
      <c r="F113" s="3"/>
      <c r="G113" s="49"/>
      <c r="H113" s="50"/>
      <c r="I113" s="3"/>
      <c r="J113" s="3"/>
      <c r="K113" s="1"/>
      <c r="Y113" s="5" t="str">
        <f t="shared" si="3"/>
        <v/>
      </c>
      <c r="Z113"/>
      <c r="AA113" s="7" t="s">
        <v>234</v>
      </c>
    </row>
    <row r="114" spans="1:27" ht="21.75" customHeight="1" x14ac:dyDescent="0.25">
      <c r="A114" s="1"/>
      <c r="B114" s="135" t="s">
        <v>235</v>
      </c>
      <c r="C114" s="135"/>
      <c r="D114" s="135"/>
      <c r="E114" s="135"/>
      <c r="F114" s="135"/>
      <c r="G114" s="135"/>
      <c r="H114" s="135"/>
      <c r="I114" s="135"/>
      <c r="J114" s="135"/>
      <c r="K114" s="1"/>
      <c r="Y114" s="5" t="str">
        <f t="shared" si="3"/>
        <v/>
      </c>
      <c r="Z114"/>
      <c r="AA114" s="7" t="s">
        <v>236</v>
      </c>
    </row>
    <row r="115" spans="1:27" ht="15" customHeight="1" x14ac:dyDescent="0.25">
      <c r="A115" s="1"/>
      <c r="B115" s="2"/>
      <c r="C115" s="3"/>
      <c r="D115" s="3"/>
      <c r="E115" s="3"/>
      <c r="F115" s="3"/>
      <c r="G115" s="49"/>
      <c r="H115" s="50"/>
      <c r="I115" s="3"/>
      <c r="J115" s="3"/>
      <c r="K115" s="1"/>
      <c r="Y115" s="5" t="str">
        <f t="shared" si="3"/>
        <v/>
      </c>
      <c r="Z115"/>
      <c r="AA115" s="7" t="s">
        <v>237</v>
      </c>
    </row>
    <row r="116" spans="1:27" ht="18.75" customHeight="1" x14ac:dyDescent="0.25">
      <c r="A116" s="1"/>
      <c r="B116" s="150" t="s">
        <v>238</v>
      </c>
      <c r="C116" s="150"/>
      <c r="D116" s="150"/>
      <c r="E116" s="150"/>
      <c r="F116" s="150"/>
      <c r="G116" s="150"/>
      <c r="H116" s="150"/>
      <c r="I116" s="150" t="s">
        <v>215</v>
      </c>
      <c r="J116" s="51" t="s">
        <v>239</v>
      </c>
      <c r="K116" s="1"/>
      <c r="Y116" s="5" t="str">
        <f t="shared" si="3"/>
        <v/>
      </c>
      <c r="Z116"/>
      <c r="AA116" s="7" t="s">
        <v>240</v>
      </c>
    </row>
    <row r="117" spans="1:27" ht="5.25" customHeight="1" x14ac:dyDescent="0.25">
      <c r="A117" s="1"/>
      <c r="B117" s="2"/>
      <c r="C117" s="3"/>
      <c r="D117" s="3"/>
      <c r="E117" s="3"/>
      <c r="F117" s="3"/>
      <c r="G117" s="3"/>
      <c r="H117" s="4"/>
      <c r="I117" s="3"/>
      <c r="J117" s="3"/>
      <c r="K117" s="1"/>
      <c r="Y117" s="5" t="str">
        <f t="shared" si="3"/>
        <v/>
      </c>
      <c r="Z117"/>
      <c r="AA117" s="7" t="s">
        <v>241</v>
      </c>
    </row>
    <row r="118" spans="1:27" ht="20.25" customHeight="1" x14ac:dyDescent="0.25">
      <c r="A118" s="1"/>
      <c r="B118" s="45"/>
      <c r="C118" s="46"/>
      <c r="D118" s="46"/>
      <c r="E118" s="46"/>
      <c r="F118" s="46"/>
      <c r="G118" s="46" t="s">
        <v>218</v>
      </c>
      <c r="H118" s="46" t="s">
        <v>219</v>
      </c>
      <c r="I118" s="147" t="s">
        <v>220</v>
      </c>
      <c r="J118" s="147"/>
      <c r="K118" s="1"/>
      <c r="Y118" s="5" t="str">
        <f t="shared" si="3"/>
        <v/>
      </c>
      <c r="Z118"/>
      <c r="AA118" s="7" t="s">
        <v>242</v>
      </c>
    </row>
    <row r="119" spans="1:27" ht="30.75" customHeight="1" x14ac:dyDescent="0.25">
      <c r="A119" s="1"/>
      <c r="B119" s="137" t="s">
        <v>243</v>
      </c>
      <c r="C119" s="137"/>
      <c r="D119" s="137"/>
      <c r="E119" s="137"/>
      <c r="F119" s="137"/>
      <c r="G119" s="47" t="s">
        <v>502</v>
      </c>
      <c r="H119" s="48"/>
      <c r="I119" s="138"/>
      <c r="J119" s="139"/>
      <c r="K119" s="1"/>
      <c r="Y119" s="5" t="str">
        <f t="shared" si="3"/>
        <v/>
      </c>
      <c r="Z119"/>
      <c r="AA119" s="7" t="s">
        <v>244</v>
      </c>
    </row>
    <row r="120" spans="1:27" ht="2.25" customHeight="1" x14ac:dyDescent="0.25">
      <c r="A120" s="1"/>
      <c r="B120" s="2"/>
      <c r="C120" s="3"/>
      <c r="D120" s="3"/>
      <c r="E120" s="3"/>
      <c r="F120" s="3"/>
      <c r="G120" s="52"/>
      <c r="H120" s="53"/>
      <c r="I120" s="3"/>
      <c r="J120" s="3"/>
      <c r="K120" s="1"/>
      <c r="Y120" s="5" t="str">
        <f t="shared" si="3"/>
        <v/>
      </c>
      <c r="Z120"/>
      <c r="AA120" s="7" t="s">
        <v>245</v>
      </c>
    </row>
    <row r="121" spans="1:27" ht="30.75" customHeight="1" x14ac:dyDescent="0.25">
      <c r="A121" s="1"/>
      <c r="B121" s="137" t="s">
        <v>246</v>
      </c>
      <c r="C121" s="137"/>
      <c r="D121" s="137"/>
      <c r="E121" s="137"/>
      <c r="F121" s="137"/>
      <c r="G121" s="47" t="s">
        <v>502</v>
      </c>
      <c r="H121" s="48"/>
      <c r="I121" s="143">
        <v>14001</v>
      </c>
      <c r="J121" s="139"/>
      <c r="K121" s="1"/>
      <c r="Y121" s="5" t="str">
        <f t="shared" si="3"/>
        <v/>
      </c>
      <c r="Z121"/>
      <c r="AA121" s="7" t="s">
        <v>247</v>
      </c>
    </row>
    <row r="122" spans="1:27" ht="2.25" customHeight="1" x14ac:dyDescent="0.25">
      <c r="A122" s="1"/>
      <c r="B122" s="45"/>
      <c r="C122" s="45"/>
      <c r="D122" s="45"/>
      <c r="E122" s="45"/>
      <c r="F122" s="45"/>
      <c r="G122" s="45"/>
      <c r="H122" s="45"/>
      <c r="I122" s="45"/>
      <c r="J122" s="45"/>
      <c r="K122" s="1"/>
      <c r="Y122" s="5" t="str">
        <f t="shared" si="3"/>
        <v/>
      </c>
      <c r="Z122"/>
      <c r="AA122" s="7" t="s">
        <v>248</v>
      </c>
    </row>
    <row r="123" spans="1:27" ht="35.25" customHeight="1" x14ac:dyDescent="0.25">
      <c r="A123" s="1"/>
      <c r="B123" s="137" t="s">
        <v>249</v>
      </c>
      <c r="C123" s="137"/>
      <c r="D123" s="137"/>
      <c r="E123" s="137"/>
      <c r="F123" s="137"/>
      <c r="G123" s="47"/>
      <c r="H123" s="48" t="s">
        <v>502</v>
      </c>
      <c r="I123" s="138"/>
      <c r="J123" s="139"/>
      <c r="K123" s="1"/>
      <c r="Y123" s="5" t="str">
        <f t="shared" si="3"/>
        <v/>
      </c>
      <c r="Z123"/>
      <c r="AA123" s="7" t="s">
        <v>250</v>
      </c>
    </row>
    <row r="124" spans="1:27" ht="12" customHeight="1" x14ac:dyDescent="0.25">
      <c r="A124" s="1"/>
      <c r="B124" s="2"/>
      <c r="C124" s="3"/>
      <c r="D124" s="3"/>
      <c r="E124" s="3"/>
      <c r="F124" s="3"/>
      <c r="G124" s="3"/>
      <c r="H124" s="4"/>
      <c r="I124" s="3"/>
      <c r="J124" s="3"/>
      <c r="K124" s="1"/>
      <c r="Y124" s="5" t="str">
        <f t="shared" si="3"/>
        <v/>
      </c>
      <c r="Z124"/>
      <c r="AA124" s="7" t="s">
        <v>251</v>
      </c>
    </row>
    <row r="125" spans="1:27" ht="39" customHeight="1" x14ac:dyDescent="0.25">
      <c r="A125" s="1"/>
      <c r="B125" s="54" t="s">
        <v>252</v>
      </c>
      <c r="C125" s="148"/>
      <c r="D125" s="148"/>
      <c r="E125" s="148"/>
      <c r="F125" s="148"/>
      <c r="G125" s="148"/>
      <c r="H125" s="148"/>
      <c r="I125" s="148"/>
      <c r="J125" s="148"/>
      <c r="K125" s="1"/>
      <c r="Y125" s="5" t="str">
        <f t="shared" si="3"/>
        <v/>
      </c>
      <c r="Z125"/>
      <c r="AA125" s="7" t="s">
        <v>253</v>
      </c>
    </row>
    <row r="126" spans="1:27" ht="38.25" customHeight="1" x14ac:dyDescent="0.25">
      <c r="A126" s="1"/>
      <c r="B126" s="54" t="s">
        <v>254</v>
      </c>
      <c r="C126" s="149"/>
      <c r="D126" s="149"/>
      <c r="E126" s="149"/>
      <c r="F126" s="149"/>
      <c r="G126" s="149"/>
      <c r="H126" s="149"/>
      <c r="I126" s="149"/>
      <c r="J126" s="149"/>
      <c r="K126" s="1"/>
      <c r="Y126" s="5" t="str">
        <f t="shared" si="3"/>
        <v/>
      </c>
      <c r="Z126"/>
      <c r="AA126" s="7" t="s">
        <v>255</v>
      </c>
    </row>
    <row r="127" spans="1:27" ht="36.75" customHeight="1" x14ac:dyDescent="0.25">
      <c r="A127" s="1"/>
      <c r="B127" s="54" t="s">
        <v>256</v>
      </c>
      <c r="C127" s="144"/>
      <c r="D127" s="144"/>
      <c r="E127" s="144"/>
      <c r="F127" s="144"/>
      <c r="G127" s="144"/>
      <c r="H127" s="144"/>
      <c r="I127" s="144"/>
      <c r="J127" s="144"/>
      <c r="K127" s="1"/>
      <c r="Y127" s="5" t="str">
        <f t="shared" si="3"/>
        <v/>
      </c>
      <c r="Z127"/>
      <c r="AA127" s="7" t="s">
        <v>257</v>
      </c>
    </row>
    <row r="128" spans="1:27" ht="15" customHeight="1" x14ac:dyDescent="0.25">
      <c r="A128" s="1"/>
      <c r="B128" s="45"/>
      <c r="C128" s="45"/>
      <c r="D128" s="45"/>
      <c r="E128" s="45"/>
      <c r="F128" s="45"/>
      <c r="G128" s="45"/>
      <c r="H128" s="45"/>
      <c r="I128" s="45"/>
      <c r="J128" s="45"/>
      <c r="K128" s="1"/>
      <c r="Y128" s="5" t="str">
        <f t="shared" si="3"/>
        <v/>
      </c>
      <c r="Z128"/>
      <c r="AA128" s="7" t="s">
        <v>258</v>
      </c>
    </row>
    <row r="129" spans="1:27" ht="30" customHeight="1" x14ac:dyDescent="0.25">
      <c r="A129" s="1"/>
      <c r="B129" s="135" t="s">
        <v>259</v>
      </c>
      <c r="C129" s="135"/>
      <c r="D129" s="135"/>
      <c r="E129" s="135"/>
      <c r="F129" s="135"/>
      <c r="G129" s="135"/>
      <c r="H129" s="135"/>
      <c r="I129" s="135"/>
      <c r="J129" s="135"/>
      <c r="K129" s="1"/>
      <c r="Y129" s="5" t="str">
        <f t="shared" si="3"/>
        <v/>
      </c>
      <c r="Z129"/>
      <c r="AA129" s="7" t="s">
        <v>260</v>
      </c>
    </row>
    <row r="130" spans="1:27" ht="18" customHeight="1" x14ac:dyDescent="0.25">
      <c r="A130" s="1"/>
      <c r="B130" s="1"/>
      <c r="C130" s="1"/>
      <c r="D130" s="1"/>
      <c r="E130" s="1"/>
      <c r="F130" s="1"/>
      <c r="G130" s="1"/>
      <c r="H130" s="1"/>
      <c r="I130" s="1"/>
      <c r="J130" s="1"/>
      <c r="K130" s="1"/>
      <c r="Y130" s="5" t="str">
        <f t="shared" si="3"/>
        <v/>
      </c>
      <c r="Z130"/>
      <c r="AA130" s="7" t="s">
        <v>261</v>
      </c>
    </row>
    <row r="131" spans="1:27" ht="31.5" customHeight="1" x14ac:dyDescent="0.25">
      <c r="A131" s="1"/>
      <c r="B131" s="1"/>
      <c r="C131" s="1"/>
      <c r="D131" s="1"/>
      <c r="E131" s="1"/>
      <c r="F131" s="1"/>
      <c r="G131" s="1"/>
      <c r="H131" s="1"/>
      <c r="I131" s="1"/>
      <c r="J131" s="1"/>
      <c r="K131" s="1"/>
      <c r="Y131" s="5" t="str">
        <f t="shared" si="3"/>
        <v/>
      </c>
      <c r="Z131"/>
      <c r="AA131" s="7" t="s">
        <v>262</v>
      </c>
    </row>
    <row r="132" spans="1:27" ht="17.25" customHeight="1" x14ac:dyDescent="0.25">
      <c r="A132" s="1"/>
      <c r="B132" s="145" t="s">
        <v>263</v>
      </c>
      <c r="C132" s="145"/>
      <c r="D132" s="145"/>
      <c r="E132" s="145"/>
      <c r="F132" s="145"/>
      <c r="G132" s="145"/>
      <c r="H132" s="145"/>
      <c r="I132" s="145" t="s">
        <v>215</v>
      </c>
      <c r="J132" s="55" t="s">
        <v>264</v>
      </c>
      <c r="K132" s="1"/>
      <c r="Y132" s="5" t="str">
        <f t="shared" si="3"/>
        <v/>
      </c>
      <c r="Z132"/>
      <c r="AA132" s="7" t="s">
        <v>265</v>
      </c>
    </row>
    <row r="133" spans="1:27" ht="33" customHeight="1" x14ac:dyDescent="0.3">
      <c r="A133" s="1"/>
      <c r="B133" s="56"/>
      <c r="C133" s="46"/>
      <c r="D133" s="46"/>
      <c r="E133" s="46"/>
      <c r="F133" s="46"/>
      <c r="G133" s="57" t="s">
        <v>218</v>
      </c>
      <c r="H133" s="57" t="s">
        <v>219</v>
      </c>
      <c r="I133" s="146" t="s">
        <v>220</v>
      </c>
      <c r="J133" s="146"/>
      <c r="K133" s="1"/>
      <c r="Y133" s="5" t="str">
        <f t="shared" si="3"/>
        <v/>
      </c>
      <c r="Z133"/>
      <c r="AA133" s="7" t="s">
        <v>266</v>
      </c>
    </row>
    <row r="134" spans="1:27" ht="17.25" customHeight="1" x14ac:dyDescent="0.25">
      <c r="A134" s="1"/>
      <c r="B134" s="56" t="s">
        <v>267</v>
      </c>
      <c r="C134" s="46"/>
      <c r="D134" s="46"/>
      <c r="E134" s="46"/>
      <c r="F134" s="46"/>
      <c r="G134" s="46"/>
      <c r="H134" s="46"/>
      <c r="I134" s="147"/>
      <c r="J134" s="147"/>
      <c r="K134" s="1"/>
      <c r="Y134" s="5" t="str">
        <f t="shared" si="3"/>
        <v/>
      </c>
      <c r="Z134"/>
      <c r="AA134" s="7" t="s">
        <v>268</v>
      </c>
    </row>
    <row r="135" spans="1:27" ht="30.75" customHeight="1" x14ac:dyDescent="0.25">
      <c r="A135" s="1"/>
      <c r="B135" s="137" t="s">
        <v>269</v>
      </c>
      <c r="C135" s="137"/>
      <c r="D135" s="137"/>
      <c r="E135" s="137"/>
      <c r="F135" s="137"/>
      <c r="G135" s="47" t="s">
        <v>502</v>
      </c>
      <c r="H135" s="48"/>
      <c r="I135" s="138"/>
      <c r="J135" s="139"/>
      <c r="K135" s="1"/>
      <c r="Y135" s="5" t="str">
        <f t="shared" si="3"/>
        <v/>
      </c>
      <c r="Z135"/>
      <c r="AA135" s="7" t="s">
        <v>270</v>
      </c>
    </row>
    <row r="136" spans="1:27" ht="6.75" customHeight="1" x14ac:dyDescent="0.25">
      <c r="A136" s="1"/>
      <c r="B136" s="2"/>
      <c r="C136" s="3"/>
      <c r="D136" s="3"/>
      <c r="E136" s="3"/>
      <c r="F136" s="3"/>
      <c r="G136" s="52"/>
      <c r="H136" s="53"/>
      <c r="I136" s="3"/>
      <c r="J136" s="3"/>
      <c r="K136" s="1"/>
      <c r="Y136" s="5" t="str">
        <f t="shared" si="3"/>
        <v/>
      </c>
      <c r="Z136"/>
      <c r="AA136" s="7" t="s">
        <v>271</v>
      </c>
    </row>
    <row r="137" spans="1:27" ht="34.5" customHeight="1" x14ac:dyDescent="0.25">
      <c r="A137" s="1"/>
      <c r="B137" s="137" t="s">
        <v>272</v>
      </c>
      <c r="C137" s="137"/>
      <c r="D137" s="137"/>
      <c r="E137" s="137"/>
      <c r="F137" s="137"/>
      <c r="G137" s="47" t="s">
        <v>502</v>
      </c>
      <c r="H137" s="48"/>
      <c r="I137" s="138"/>
      <c r="J137" s="139"/>
      <c r="K137" s="1"/>
      <c r="Y137" s="5" t="str">
        <f t="shared" si="3"/>
        <v/>
      </c>
      <c r="Z137"/>
      <c r="AA137" s="7" t="s">
        <v>273</v>
      </c>
    </row>
    <row r="138" spans="1:27" ht="10.5" customHeight="1" x14ac:dyDescent="0.25">
      <c r="A138" s="1"/>
      <c r="B138" s="2"/>
      <c r="C138" s="3"/>
      <c r="D138" s="3"/>
      <c r="E138" s="3"/>
      <c r="F138" s="3"/>
      <c r="G138" s="52"/>
      <c r="H138" s="53"/>
      <c r="I138" s="3"/>
      <c r="J138" s="3"/>
      <c r="K138" s="1"/>
      <c r="Y138" s="5" t="str">
        <f t="shared" si="3"/>
        <v/>
      </c>
      <c r="Z138"/>
      <c r="AA138" s="7" t="s">
        <v>274</v>
      </c>
    </row>
    <row r="139" spans="1:27" ht="24" customHeight="1" x14ac:dyDescent="0.25">
      <c r="A139" s="1"/>
      <c r="B139" s="137" t="s">
        <v>275</v>
      </c>
      <c r="C139" s="137"/>
      <c r="D139" s="137"/>
      <c r="E139" s="137"/>
      <c r="F139" s="137"/>
      <c r="G139" s="47" t="s">
        <v>502</v>
      </c>
      <c r="H139" s="48"/>
      <c r="I139" s="143">
        <v>45001</v>
      </c>
      <c r="J139" s="139"/>
      <c r="K139" s="1"/>
      <c r="Y139" s="5" t="str">
        <f t="shared" si="3"/>
        <v/>
      </c>
      <c r="Z139"/>
      <c r="AA139" s="7" t="s">
        <v>276</v>
      </c>
    </row>
    <row r="140" spans="1:27" ht="9.75" customHeight="1" x14ac:dyDescent="0.25">
      <c r="A140" s="1"/>
      <c r="B140" s="2"/>
      <c r="C140" s="3"/>
      <c r="D140" s="3"/>
      <c r="E140" s="3"/>
      <c r="F140" s="3"/>
      <c r="G140" s="52"/>
      <c r="H140" s="53"/>
      <c r="I140" s="3"/>
      <c r="J140" s="3"/>
      <c r="K140" s="1"/>
      <c r="Y140" s="5" t="str">
        <f t="shared" si="3"/>
        <v/>
      </c>
      <c r="Z140"/>
      <c r="AA140" s="7" t="s">
        <v>277</v>
      </c>
    </row>
    <row r="141" spans="1:27" ht="27" customHeight="1" x14ac:dyDescent="0.25">
      <c r="A141" s="1"/>
      <c r="B141" s="137" t="s">
        <v>278</v>
      </c>
      <c r="C141" s="137"/>
      <c r="D141" s="137"/>
      <c r="E141" s="137"/>
      <c r="F141" s="137"/>
      <c r="G141" s="47" t="s">
        <v>502</v>
      </c>
      <c r="H141" s="48"/>
      <c r="I141" s="138"/>
      <c r="J141" s="139"/>
      <c r="K141" s="1"/>
      <c r="Y141" s="5" t="str">
        <f t="shared" si="3"/>
        <v/>
      </c>
      <c r="Z141"/>
      <c r="AA141" s="7" t="s">
        <v>279</v>
      </c>
    </row>
    <row r="142" spans="1:27" ht="6.75" customHeight="1" x14ac:dyDescent="0.25">
      <c r="A142" s="1"/>
      <c r="B142" s="2"/>
      <c r="C142" s="3"/>
      <c r="D142" s="3"/>
      <c r="E142" s="3"/>
      <c r="F142" s="3"/>
      <c r="G142" s="52"/>
      <c r="H142" s="53"/>
      <c r="I142" s="3"/>
      <c r="J142" s="3"/>
      <c r="K142" s="1"/>
      <c r="Y142" s="5" t="str">
        <f t="shared" si="3"/>
        <v/>
      </c>
      <c r="Z142"/>
      <c r="AA142" s="7" t="s">
        <v>280</v>
      </c>
    </row>
    <row r="143" spans="1:27" ht="17.25" customHeight="1" x14ac:dyDescent="0.25">
      <c r="A143" s="1"/>
      <c r="B143" s="142" t="s">
        <v>281</v>
      </c>
      <c r="C143" s="142"/>
      <c r="D143" s="3"/>
      <c r="E143" s="3"/>
      <c r="F143" s="3"/>
      <c r="G143" s="52"/>
      <c r="H143" s="53"/>
      <c r="I143" s="3"/>
      <c r="J143" s="3"/>
      <c r="K143" s="1"/>
      <c r="Y143" s="5" t="str">
        <f t="shared" si="3"/>
        <v/>
      </c>
      <c r="Z143"/>
      <c r="AA143" s="7" t="s">
        <v>282</v>
      </c>
    </row>
    <row r="144" spans="1:27" ht="31.5" customHeight="1" x14ac:dyDescent="0.25">
      <c r="A144" s="1"/>
      <c r="B144" s="141" t="s">
        <v>283</v>
      </c>
      <c r="C144" s="141"/>
      <c r="D144" s="141"/>
      <c r="E144" s="141"/>
      <c r="F144" s="141"/>
      <c r="G144" s="47" t="s">
        <v>502</v>
      </c>
      <c r="H144" s="48"/>
      <c r="I144" s="138"/>
      <c r="J144" s="139"/>
      <c r="K144" s="1"/>
      <c r="Y144" s="5" t="str">
        <f t="shared" si="3"/>
        <v/>
      </c>
      <c r="Z144"/>
      <c r="AA144" s="23" t="s">
        <v>284</v>
      </c>
    </row>
    <row r="145" spans="1:27" ht="6.75" customHeight="1" x14ac:dyDescent="0.25">
      <c r="A145" s="1"/>
      <c r="B145" s="2"/>
      <c r="C145" s="3"/>
      <c r="D145" s="3"/>
      <c r="E145" s="3"/>
      <c r="F145" s="3"/>
      <c r="G145" s="52"/>
      <c r="H145" s="53"/>
      <c r="I145" s="3"/>
      <c r="J145" s="3"/>
      <c r="K145" s="1"/>
      <c r="Y145" s="5" t="str">
        <f t="shared" si="3"/>
        <v/>
      </c>
      <c r="Z145"/>
      <c r="AA145" s="7" t="s">
        <v>285</v>
      </c>
    </row>
    <row r="146" spans="1:27" ht="41.25" customHeight="1" x14ac:dyDescent="0.25">
      <c r="A146" s="1"/>
      <c r="B146" s="141" t="s">
        <v>286</v>
      </c>
      <c r="C146" s="141"/>
      <c r="D146" s="141"/>
      <c r="E146" s="141"/>
      <c r="F146" s="141"/>
      <c r="G146" s="47" t="s">
        <v>502</v>
      </c>
      <c r="H146" s="48"/>
      <c r="I146" s="138"/>
      <c r="J146" s="139"/>
      <c r="K146" s="1"/>
      <c r="Y146" s="5" t="str">
        <f t="shared" si="3"/>
        <v/>
      </c>
      <c r="Z146"/>
      <c r="AA146" s="7" t="s">
        <v>287</v>
      </c>
    </row>
    <row r="147" spans="1:27" ht="6.75" customHeight="1" x14ac:dyDescent="0.25">
      <c r="A147" s="1"/>
      <c r="B147" s="2"/>
      <c r="C147" s="3"/>
      <c r="D147" s="3"/>
      <c r="E147" s="3"/>
      <c r="F147" s="3"/>
      <c r="G147" s="52"/>
      <c r="H147" s="53"/>
      <c r="I147" s="3"/>
      <c r="J147" s="3"/>
      <c r="K147" s="1"/>
      <c r="Y147" s="5" t="str">
        <f t="shared" si="3"/>
        <v/>
      </c>
      <c r="Z147"/>
      <c r="AA147" s="7" t="s">
        <v>288</v>
      </c>
    </row>
    <row r="148" spans="1:27" ht="36" customHeight="1" x14ac:dyDescent="0.25">
      <c r="A148" s="1"/>
      <c r="B148" s="141" t="s">
        <v>289</v>
      </c>
      <c r="C148" s="141"/>
      <c r="D148" s="141"/>
      <c r="E148" s="141"/>
      <c r="F148" s="141"/>
      <c r="G148" s="47" t="s">
        <v>502</v>
      </c>
      <c r="H148" s="48"/>
      <c r="I148" s="138"/>
      <c r="J148" s="139"/>
      <c r="K148" s="1"/>
      <c r="Y148" s="5" t="str">
        <f t="shared" si="3"/>
        <v/>
      </c>
      <c r="Z148"/>
      <c r="AA148" s="7" t="s">
        <v>290</v>
      </c>
    </row>
    <row r="149" spans="1:27" ht="6.75" customHeight="1" x14ac:dyDescent="0.25">
      <c r="A149" s="1"/>
      <c r="B149" s="2"/>
      <c r="C149" s="3"/>
      <c r="D149" s="3"/>
      <c r="E149" s="3"/>
      <c r="F149" s="3"/>
      <c r="G149" s="52"/>
      <c r="H149" s="53"/>
      <c r="I149" s="3"/>
      <c r="J149" s="3"/>
      <c r="K149" s="1"/>
      <c r="Y149" s="5" t="str">
        <f t="shared" si="3"/>
        <v/>
      </c>
      <c r="Z149"/>
      <c r="AA149" s="7" t="s">
        <v>291</v>
      </c>
    </row>
    <row r="150" spans="1:27" ht="31.5" customHeight="1" x14ac:dyDescent="0.25">
      <c r="A150" s="1"/>
      <c r="B150" s="141" t="s">
        <v>292</v>
      </c>
      <c r="C150" s="141"/>
      <c r="D150" s="141"/>
      <c r="E150" s="141"/>
      <c r="F150" s="141"/>
      <c r="G150" s="47" t="s">
        <v>502</v>
      </c>
      <c r="H150" s="48"/>
      <c r="I150" s="138"/>
      <c r="J150" s="139"/>
      <c r="K150" s="1"/>
      <c r="Y150" s="5" t="str">
        <f t="shared" si="3"/>
        <v/>
      </c>
      <c r="Z150"/>
      <c r="AA150" s="7" t="s">
        <v>293</v>
      </c>
    </row>
    <row r="151" spans="1:27" ht="6.75" customHeight="1" x14ac:dyDescent="0.25">
      <c r="A151" s="1"/>
      <c r="B151" s="2"/>
      <c r="C151" s="3"/>
      <c r="D151" s="3"/>
      <c r="E151" s="3"/>
      <c r="F151" s="3"/>
      <c r="G151" s="52"/>
      <c r="H151" s="53"/>
      <c r="I151" s="3"/>
      <c r="J151" s="3"/>
      <c r="K151" s="1"/>
      <c r="Y151" s="5" t="str">
        <f t="shared" si="3"/>
        <v/>
      </c>
      <c r="Z151"/>
      <c r="AA151" s="23" t="s">
        <v>294</v>
      </c>
    </row>
    <row r="152" spans="1:27" ht="31.5" customHeight="1" x14ac:dyDescent="0.25">
      <c r="A152" s="1"/>
      <c r="B152" s="141" t="s">
        <v>295</v>
      </c>
      <c r="C152" s="141"/>
      <c r="D152" s="141"/>
      <c r="E152" s="141"/>
      <c r="F152" s="141"/>
      <c r="G152" s="47" t="s">
        <v>502</v>
      </c>
      <c r="H152" s="48"/>
      <c r="I152" s="138"/>
      <c r="J152" s="139"/>
      <c r="K152" s="1"/>
      <c r="Y152" s="5" t="str">
        <f t="shared" si="3"/>
        <v/>
      </c>
      <c r="Z152"/>
      <c r="AA152" s="7" t="s">
        <v>296</v>
      </c>
    </row>
    <row r="153" spans="1:27" ht="6.75" customHeight="1" x14ac:dyDescent="0.25">
      <c r="A153" s="1"/>
      <c r="B153" s="2"/>
      <c r="C153" s="3"/>
      <c r="D153" s="3"/>
      <c r="E153" s="3"/>
      <c r="F153" s="3"/>
      <c r="G153" s="52"/>
      <c r="H153" s="53"/>
      <c r="I153" s="3"/>
      <c r="J153" s="3"/>
      <c r="K153" s="1"/>
      <c r="Y153" s="5" t="str">
        <f t="shared" si="3"/>
        <v/>
      </c>
      <c r="Z153"/>
      <c r="AA153" s="7" t="s">
        <v>297</v>
      </c>
    </row>
    <row r="154" spans="1:27" ht="31.5" customHeight="1" x14ac:dyDescent="0.25">
      <c r="A154" s="1"/>
      <c r="B154" s="141" t="s">
        <v>298</v>
      </c>
      <c r="C154" s="141"/>
      <c r="D154" s="141"/>
      <c r="E154" s="141"/>
      <c r="F154" s="141"/>
      <c r="G154" s="47" t="s">
        <v>502</v>
      </c>
      <c r="H154" s="48"/>
      <c r="I154" s="138"/>
      <c r="J154" s="139"/>
      <c r="K154" s="1"/>
      <c r="Y154" s="5" t="str">
        <f t="shared" si="3"/>
        <v/>
      </c>
      <c r="Z154"/>
      <c r="AA154" s="7" t="s">
        <v>299</v>
      </c>
    </row>
    <row r="155" spans="1:27" ht="6.75" customHeight="1" x14ac:dyDescent="0.25">
      <c r="A155" s="1"/>
      <c r="B155" s="2"/>
      <c r="C155" s="3"/>
      <c r="D155" s="3"/>
      <c r="E155" s="3"/>
      <c r="F155" s="3"/>
      <c r="G155" s="52"/>
      <c r="H155" s="53"/>
      <c r="I155" s="3"/>
      <c r="J155" s="3"/>
      <c r="K155" s="1"/>
      <c r="Y155" s="5" t="str">
        <f t="shared" si="3"/>
        <v/>
      </c>
      <c r="Z155"/>
      <c r="AA155" s="7" t="s">
        <v>300</v>
      </c>
    </row>
    <row r="156" spans="1:27" ht="31.5" customHeight="1" x14ac:dyDescent="0.25">
      <c r="A156" s="1"/>
      <c r="B156" s="141" t="s">
        <v>301</v>
      </c>
      <c r="C156" s="141"/>
      <c r="D156" s="141"/>
      <c r="E156" s="141"/>
      <c r="F156" s="141"/>
      <c r="G156" s="47" t="s">
        <v>502</v>
      </c>
      <c r="H156" s="48"/>
      <c r="I156" s="138"/>
      <c r="J156" s="139"/>
      <c r="K156" s="1"/>
      <c r="Y156" s="5" t="str">
        <f t="shared" si="3"/>
        <v/>
      </c>
      <c r="Z156"/>
      <c r="AA156" s="7" t="s">
        <v>302</v>
      </c>
    </row>
    <row r="157" spans="1:27" ht="6.75" customHeight="1" x14ac:dyDescent="0.25">
      <c r="A157" s="1"/>
      <c r="B157" s="2"/>
      <c r="C157" s="3"/>
      <c r="D157" s="3"/>
      <c r="E157" s="3"/>
      <c r="F157" s="3"/>
      <c r="G157" s="52"/>
      <c r="H157" s="53"/>
      <c r="I157" s="3"/>
      <c r="J157" s="3"/>
      <c r="K157" s="1"/>
      <c r="Y157" s="5" t="str">
        <f t="shared" si="3"/>
        <v/>
      </c>
      <c r="Z157"/>
      <c r="AA157" s="7" t="s">
        <v>303</v>
      </c>
    </row>
    <row r="158" spans="1:27" ht="35.25" customHeight="1" x14ac:dyDescent="0.25">
      <c r="A158" s="1"/>
      <c r="B158" s="141" t="s">
        <v>304</v>
      </c>
      <c r="C158" s="141"/>
      <c r="D158" s="141"/>
      <c r="E158" s="141"/>
      <c r="F158" s="141"/>
      <c r="G158" s="47" t="s">
        <v>502</v>
      </c>
      <c r="H158" s="48"/>
      <c r="I158" s="138"/>
      <c r="J158" s="139"/>
      <c r="K158" s="1"/>
      <c r="Y158" s="5" t="str">
        <f t="shared" si="3"/>
        <v/>
      </c>
      <c r="Z158"/>
      <c r="AA158" s="7" t="s">
        <v>305</v>
      </c>
    </row>
    <row r="159" spans="1:27" ht="5.25" customHeight="1" x14ac:dyDescent="0.25">
      <c r="A159" s="1"/>
      <c r="B159" s="2"/>
      <c r="C159" s="3"/>
      <c r="D159" s="3"/>
      <c r="E159" s="3"/>
      <c r="F159" s="3"/>
      <c r="G159" s="52"/>
      <c r="H159" s="53"/>
      <c r="I159" s="3"/>
      <c r="J159" s="3"/>
      <c r="K159" s="1"/>
      <c r="Y159" s="5" t="str">
        <f t="shared" si="3"/>
        <v/>
      </c>
      <c r="Z159"/>
      <c r="AA159" s="7" t="s">
        <v>306</v>
      </c>
    </row>
    <row r="160" spans="1:27" ht="36.75" customHeight="1" x14ac:dyDescent="0.25">
      <c r="A160" s="1"/>
      <c r="B160" s="141" t="s">
        <v>307</v>
      </c>
      <c r="C160" s="141"/>
      <c r="D160" s="141"/>
      <c r="E160" s="141"/>
      <c r="F160" s="141"/>
      <c r="G160" s="47" t="s">
        <v>502</v>
      </c>
      <c r="H160" s="48"/>
      <c r="I160" s="138"/>
      <c r="J160" s="139"/>
      <c r="K160" s="1"/>
      <c r="Y160" s="5" t="str">
        <f t="shared" si="3"/>
        <v/>
      </c>
      <c r="Z160"/>
      <c r="AA160" s="7" t="s">
        <v>308</v>
      </c>
    </row>
    <row r="161" spans="1:27" ht="6.75" customHeight="1" x14ac:dyDescent="0.25">
      <c r="A161" s="1"/>
      <c r="B161" s="2"/>
      <c r="C161" s="3"/>
      <c r="D161" s="3"/>
      <c r="E161" s="3"/>
      <c r="F161" s="3"/>
      <c r="G161" s="52"/>
      <c r="H161" s="53"/>
      <c r="I161" s="3"/>
      <c r="J161" s="3"/>
      <c r="K161" s="1"/>
      <c r="Y161" s="5" t="str">
        <f t="shared" si="3"/>
        <v/>
      </c>
      <c r="Z161"/>
      <c r="AA161" s="7" t="s">
        <v>309</v>
      </c>
    </row>
    <row r="162" spans="1:27" ht="33.75" customHeight="1" x14ac:dyDescent="0.25">
      <c r="A162" s="1"/>
      <c r="B162" s="141" t="s">
        <v>310</v>
      </c>
      <c r="C162" s="141"/>
      <c r="D162" s="141"/>
      <c r="E162" s="141"/>
      <c r="F162" s="141"/>
      <c r="G162" s="47" t="s">
        <v>502</v>
      </c>
      <c r="H162" s="48"/>
      <c r="I162" s="138"/>
      <c r="J162" s="139"/>
      <c r="K162" s="1"/>
      <c r="Y162" s="5" t="str">
        <f t="shared" si="3"/>
        <v/>
      </c>
      <c r="Z162"/>
      <c r="AA162" s="7" t="s">
        <v>311</v>
      </c>
    </row>
    <row r="163" spans="1:27" ht="6.75" customHeight="1" x14ac:dyDescent="0.25">
      <c r="A163" s="1"/>
      <c r="B163" s="2"/>
      <c r="C163" s="3"/>
      <c r="D163" s="3"/>
      <c r="E163" s="3"/>
      <c r="F163" s="3"/>
      <c r="G163" s="52"/>
      <c r="H163" s="53"/>
      <c r="I163" s="3"/>
      <c r="J163" s="3"/>
      <c r="K163" s="1"/>
      <c r="Y163" s="5" t="str">
        <f t="shared" si="3"/>
        <v/>
      </c>
      <c r="Z163"/>
      <c r="AA163" s="7" t="s">
        <v>312</v>
      </c>
    </row>
    <row r="164" spans="1:27" ht="27.75" customHeight="1" x14ac:dyDescent="0.25">
      <c r="A164" s="1"/>
      <c r="B164" s="141" t="s">
        <v>313</v>
      </c>
      <c r="C164" s="141"/>
      <c r="D164" s="141"/>
      <c r="E164" s="141"/>
      <c r="F164" s="141"/>
      <c r="G164" s="47" t="s">
        <v>502</v>
      </c>
      <c r="H164" s="48"/>
      <c r="I164" s="138"/>
      <c r="J164" s="139"/>
      <c r="K164" s="1"/>
      <c r="Y164" s="5" t="str">
        <f t="shared" si="3"/>
        <v/>
      </c>
      <c r="Z164"/>
      <c r="AA164" s="7" t="s">
        <v>314</v>
      </c>
    </row>
    <row r="165" spans="1:27" ht="11.25" customHeight="1" x14ac:dyDescent="0.25">
      <c r="A165" s="1"/>
      <c r="B165" s="2"/>
      <c r="C165" s="3"/>
      <c r="D165" s="3"/>
      <c r="E165" s="3"/>
      <c r="F165" s="3"/>
      <c r="G165" s="52"/>
      <c r="H165" s="53"/>
      <c r="I165" s="3"/>
      <c r="J165" s="3"/>
      <c r="K165" s="1"/>
      <c r="Y165" s="5" t="str">
        <f t="shared" si="3"/>
        <v/>
      </c>
      <c r="Z165"/>
      <c r="AA165" s="7" t="s">
        <v>315</v>
      </c>
    </row>
    <row r="166" spans="1:27" ht="47.25" customHeight="1" x14ac:dyDescent="0.25">
      <c r="A166" s="1"/>
      <c r="B166" s="137" t="s">
        <v>316</v>
      </c>
      <c r="C166" s="137"/>
      <c r="D166" s="137"/>
      <c r="E166" s="137"/>
      <c r="F166" s="137"/>
      <c r="G166" s="47" t="s">
        <v>502</v>
      </c>
      <c r="H166" s="48"/>
      <c r="I166" s="138"/>
      <c r="J166" s="139"/>
      <c r="K166" s="1"/>
      <c r="Y166" s="5" t="str">
        <f t="shared" si="3"/>
        <v/>
      </c>
      <c r="Z166"/>
      <c r="AA166" s="7" t="s">
        <v>317</v>
      </c>
    </row>
    <row r="167" spans="1:27" ht="24.75" customHeight="1" x14ac:dyDescent="0.25">
      <c r="A167" s="1"/>
      <c r="B167" s="2"/>
      <c r="C167" s="3"/>
      <c r="D167" s="3"/>
      <c r="E167" s="3"/>
      <c r="F167" s="3"/>
      <c r="G167" s="52"/>
      <c r="H167" s="53"/>
      <c r="I167" s="3"/>
      <c r="J167" s="3"/>
      <c r="K167" s="1"/>
      <c r="Y167" s="5" t="str">
        <f t="shared" si="3"/>
        <v/>
      </c>
      <c r="Z167"/>
      <c r="AA167" s="7" t="s">
        <v>318</v>
      </c>
    </row>
    <row r="168" spans="1:27" ht="50.25" customHeight="1" x14ac:dyDescent="0.25">
      <c r="A168" s="1"/>
      <c r="B168" s="137" t="s">
        <v>319</v>
      </c>
      <c r="C168" s="137"/>
      <c r="D168" s="137"/>
      <c r="E168" s="137"/>
      <c r="F168" s="137"/>
      <c r="G168" s="47" t="s">
        <v>502</v>
      </c>
      <c r="H168" s="48"/>
      <c r="I168" s="138"/>
      <c r="J168" s="139"/>
      <c r="K168" s="1"/>
      <c r="Y168" s="5" t="str">
        <f t="shared" si="3"/>
        <v/>
      </c>
      <c r="Z168"/>
      <c r="AA168" s="7" t="s">
        <v>320</v>
      </c>
    </row>
    <row r="169" spans="1:27" ht="7.5" customHeight="1" x14ac:dyDescent="0.25">
      <c r="A169" s="1"/>
      <c r="B169" s="2"/>
      <c r="C169" s="3"/>
      <c r="D169" s="3"/>
      <c r="E169" s="3"/>
      <c r="F169" s="3"/>
      <c r="G169" s="52"/>
      <c r="H169" s="53"/>
      <c r="I169" s="3"/>
      <c r="J169" s="3"/>
      <c r="K169" s="1"/>
      <c r="Y169" s="5" t="str">
        <f t="shared" ref="Y169:Y237" si="4">+SUBSTITUTE(Z169," ","_")</f>
        <v/>
      </c>
      <c r="Z169"/>
      <c r="AA169" s="7" t="s">
        <v>321</v>
      </c>
    </row>
    <row r="170" spans="1:27" ht="51" customHeight="1" x14ac:dyDescent="0.25">
      <c r="A170" s="1"/>
      <c r="B170" s="137" t="s">
        <v>322</v>
      </c>
      <c r="C170" s="137"/>
      <c r="D170" s="137"/>
      <c r="E170" s="137"/>
      <c r="F170" s="137"/>
      <c r="G170" s="47"/>
      <c r="H170" s="48" t="s">
        <v>502</v>
      </c>
      <c r="I170" s="138"/>
      <c r="J170" s="139"/>
      <c r="K170" s="1"/>
      <c r="Y170" s="5" t="str">
        <f t="shared" si="4"/>
        <v/>
      </c>
      <c r="Z170"/>
      <c r="AA170" s="7" t="s">
        <v>323</v>
      </c>
    </row>
    <row r="171" spans="1:27" ht="24" customHeight="1" x14ac:dyDescent="0.25">
      <c r="A171" s="1"/>
      <c r="B171" s="1"/>
      <c r="C171" s="1"/>
      <c r="D171" s="1"/>
      <c r="E171" s="1"/>
      <c r="F171" s="1"/>
      <c r="G171" s="58"/>
      <c r="H171" s="58"/>
      <c r="I171" s="1"/>
      <c r="J171" s="1"/>
      <c r="K171" s="1"/>
      <c r="Y171" s="5" t="str">
        <f t="shared" si="4"/>
        <v/>
      </c>
      <c r="Z171"/>
      <c r="AA171" s="7" t="s">
        <v>324</v>
      </c>
    </row>
    <row r="172" spans="1:27" ht="29.25" customHeight="1" x14ac:dyDescent="0.25">
      <c r="A172" s="1"/>
      <c r="B172" s="140" t="s">
        <v>325</v>
      </c>
      <c r="C172" s="140"/>
      <c r="D172" s="140"/>
      <c r="E172" s="140"/>
      <c r="F172" s="140"/>
      <c r="G172" s="140"/>
      <c r="H172" s="140"/>
      <c r="I172" s="140"/>
      <c r="J172" s="140"/>
      <c r="K172" s="1"/>
      <c r="Y172" s="5" t="str">
        <f t="shared" si="4"/>
        <v/>
      </c>
      <c r="Z172"/>
      <c r="AA172" s="7" t="s">
        <v>326</v>
      </c>
    </row>
    <row r="173" spans="1:27" ht="21" customHeight="1" x14ac:dyDescent="0.25">
      <c r="A173" s="1"/>
      <c r="B173" s="2"/>
      <c r="C173" s="21"/>
      <c r="D173" s="21"/>
      <c r="E173" s="36" t="s">
        <v>327</v>
      </c>
      <c r="F173" s="36" t="s">
        <v>328</v>
      </c>
      <c r="G173" s="36" t="s">
        <v>329</v>
      </c>
      <c r="H173" s="13"/>
      <c r="I173" s="131" t="s">
        <v>330</v>
      </c>
      <c r="J173" s="131"/>
      <c r="K173" s="1"/>
      <c r="Y173" s="5" t="str">
        <f t="shared" si="4"/>
        <v/>
      </c>
      <c r="Z173"/>
      <c r="AA173" s="7" t="s">
        <v>331</v>
      </c>
    </row>
    <row r="174" spans="1:27" ht="18.75" customHeight="1" x14ac:dyDescent="0.25">
      <c r="A174" s="1"/>
      <c r="B174" s="2"/>
      <c r="C174" s="59" t="s">
        <v>191</v>
      </c>
      <c r="D174" s="37">
        <v>2020</v>
      </c>
      <c r="E174" s="60" t="s">
        <v>503</v>
      </c>
      <c r="F174" s="60" t="s">
        <v>504</v>
      </c>
      <c r="G174" s="61" t="s">
        <v>505</v>
      </c>
      <c r="H174" s="13"/>
      <c r="I174" s="131"/>
      <c r="J174" s="131"/>
      <c r="K174" s="1"/>
      <c r="Y174" s="5" t="str">
        <f t="shared" si="4"/>
        <v/>
      </c>
      <c r="Z174"/>
      <c r="AA174" s="7" t="s">
        <v>332</v>
      </c>
    </row>
    <row r="175" spans="1:27" ht="18.75" customHeight="1" x14ac:dyDescent="0.25">
      <c r="A175" s="1"/>
      <c r="B175" s="2"/>
      <c r="C175" s="59" t="s">
        <v>191</v>
      </c>
      <c r="D175" s="37">
        <v>2019</v>
      </c>
      <c r="E175" s="60" t="s">
        <v>506</v>
      </c>
      <c r="F175" s="60" t="s">
        <v>504</v>
      </c>
      <c r="G175" s="61" t="s">
        <v>507</v>
      </c>
      <c r="H175" s="13"/>
      <c r="I175" s="131" t="s">
        <v>333</v>
      </c>
      <c r="J175" s="131"/>
      <c r="K175" s="1"/>
      <c r="Y175" s="5" t="str">
        <f t="shared" si="4"/>
        <v/>
      </c>
      <c r="Z175"/>
      <c r="AA175" s="7" t="s">
        <v>334</v>
      </c>
    </row>
    <row r="176" spans="1:27" ht="18.75" customHeight="1" thickBot="1" x14ac:dyDescent="0.3">
      <c r="A176" s="1"/>
      <c r="B176" s="2"/>
      <c r="C176" s="59" t="s">
        <v>191</v>
      </c>
      <c r="D176" s="62">
        <v>2018</v>
      </c>
      <c r="E176" s="63" t="s">
        <v>508</v>
      </c>
      <c r="F176" s="63">
        <v>26</v>
      </c>
      <c r="G176" s="64" t="s">
        <v>509</v>
      </c>
      <c r="H176" s="13"/>
      <c r="I176" s="131"/>
      <c r="J176" s="131"/>
      <c r="K176" s="1"/>
      <c r="Y176" s="5" t="str">
        <f t="shared" si="4"/>
        <v/>
      </c>
      <c r="Z176"/>
      <c r="AA176" s="7" t="s">
        <v>335</v>
      </c>
    </row>
    <row r="177" spans="1:27" ht="32.25" customHeight="1" thickBot="1" x14ac:dyDescent="0.3">
      <c r="A177" s="1"/>
      <c r="B177" s="4"/>
      <c r="C177" s="132"/>
      <c r="D177" s="133"/>
      <c r="E177" s="65"/>
      <c r="F177" s="66"/>
      <c r="G177" s="67"/>
      <c r="H177" s="13"/>
      <c r="I177" s="134" t="s">
        <v>336</v>
      </c>
      <c r="J177" s="134"/>
      <c r="K177" s="1"/>
      <c r="Y177" s="5" t="str">
        <f t="shared" si="4"/>
        <v/>
      </c>
      <c r="Z177"/>
      <c r="AA177" s="7" t="s">
        <v>337</v>
      </c>
    </row>
    <row r="178" spans="1:27" ht="24.75" customHeight="1" x14ac:dyDescent="0.25">
      <c r="A178" s="1"/>
      <c r="B178" s="135" t="s">
        <v>207</v>
      </c>
      <c r="C178" s="135"/>
      <c r="D178" s="135"/>
      <c r="E178" s="135"/>
      <c r="F178" s="135"/>
      <c r="G178" s="135"/>
      <c r="H178" s="135"/>
      <c r="I178" s="135"/>
      <c r="J178" s="135"/>
      <c r="K178" s="1"/>
      <c r="Y178" s="5" t="str">
        <f t="shared" si="4"/>
        <v/>
      </c>
      <c r="Z178"/>
      <c r="AA178" s="7" t="s">
        <v>338</v>
      </c>
    </row>
    <row r="179" spans="1:27" ht="24.75" customHeight="1" x14ac:dyDescent="0.25">
      <c r="A179" s="1"/>
      <c r="B179" s="41"/>
      <c r="C179" s="136"/>
      <c r="D179" s="136"/>
      <c r="E179" s="136"/>
      <c r="F179" s="136"/>
      <c r="G179" s="136"/>
      <c r="H179" s="136"/>
      <c r="I179" s="136"/>
      <c r="J179" s="136"/>
      <c r="K179" s="1"/>
      <c r="Y179" s="5" t="str">
        <f t="shared" si="4"/>
        <v/>
      </c>
      <c r="Z179"/>
      <c r="AA179" s="7" t="s">
        <v>339</v>
      </c>
    </row>
    <row r="180" spans="1:27" ht="24.75" customHeight="1" x14ac:dyDescent="0.25">
      <c r="A180" s="1"/>
      <c r="B180" s="41"/>
      <c r="C180" s="136"/>
      <c r="D180" s="136"/>
      <c r="E180" s="136"/>
      <c r="F180" s="136"/>
      <c r="G180" s="136"/>
      <c r="H180" s="136"/>
      <c r="I180" s="136"/>
      <c r="J180" s="136"/>
      <c r="K180" s="1"/>
      <c r="Y180" s="5" t="str">
        <f t="shared" si="4"/>
        <v/>
      </c>
      <c r="Z180"/>
      <c r="AA180" s="7" t="s">
        <v>340</v>
      </c>
    </row>
    <row r="181" spans="1:27" ht="10.5" customHeight="1" x14ac:dyDescent="0.25">
      <c r="A181" s="1"/>
      <c r="B181" s="4"/>
      <c r="C181" s="13"/>
      <c r="D181" s="13"/>
      <c r="E181" s="13"/>
      <c r="F181" s="13"/>
      <c r="G181" s="13"/>
      <c r="H181" s="13"/>
      <c r="I181" s="13"/>
      <c r="J181" s="13"/>
      <c r="K181" s="1"/>
      <c r="Y181" s="5" t="str">
        <f t="shared" si="4"/>
        <v/>
      </c>
      <c r="Z181"/>
      <c r="AA181" s="7" t="s">
        <v>341</v>
      </c>
    </row>
    <row r="182" spans="1:27" ht="9.75" customHeight="1" x14ac:dyDescent="0.25">
      <c r="A182" s="1"/>
      <c r="B182" s="4"/>
      <c r="C182" s="13"/>
      <c r="D182" s="13"/>
      <c r="E182" s="13"/>
      <c r="F182" s="13"/>
      <c r="G182" s="13"/>
      <c r="H182" s="13"/>
      <c r="I182" s="13"/>
      <c r="J182" s="13"/>
      <c r="K182" s="1"/>
      <c r="Y182" s="5" t="str">
        <f t="shared" si="4"/>
        <v/>
      </c>
      <c r="Z182"/>
      <c r="AA182" s="7" t="s">
        <v>342</v>
      </c>
    </row>
    <row r="183" spans="1:27" ht="24" customHeight="1" x14ac:dyDescent="0.25">
      <c r="A183" s="1"/>
      <c r="B183" s="130" t="s">
        <v>343</v>
      </c>
      <c r="C183" s="130"/>
      <c r="D183" s="130"/>
      <c r="E183" s="130"/>
      <c r="F183" s="130"/>
      <c r="G183" s="130"/>
      <c r="H183" s="130"/>
      <c r="I183" s="130" t="s">
        <v>215</v>
      </c>
      <c r="J183" s="68" t="s">
        <v>344</v>
      </c>
      <c r="K183" s="1"/>
      <c r="Y183" s="5" t="str">
        <f t="shared" si="4"/>
        <v/>
      </c>
      <c r="Z183"/>
      <c r="AA183" s="7" t="s">
        <v>345</v>
      </c>
    </row>
    <row r="184" spans="1:27" ht="7.5" customHeight="1" x14ac:dyDescent="0.25">
      <c r="A184" s="1"/>
      <c r="B184" s="69"/>
      <c r="C184" s="26"/>
      <c r="D184" s="26"/>
      <c r="E184" s="26"/>
      <c r="F184" s="26"/>
      <c r="G184" s="26"/>
      <c r="H184" s="26"/>
      <c r="I184" s="26"/>
      <c r="J184" s="26"/>
      <c r="K184" s="1"/>
      <c r="Y184" s="5" t="str">
        <f t="shared" si="4"/>
        <v/>
      </c>
      <c r="Z184"/>
      <c r="AA184" s="7" t="s">
        <v>346</v>
      </c>
    </row>
    <row r="185" spans="1:27" ht="24" customHeight="1" x14ac:dyDescent="0.25">
      <c r="A185" s="1"/>
      <c r="B185" s="119" t="s">
        <v>347</v>
      </c>
      <c r="C185" s="119"/>
      <c r="D185" s="119"/>
      <c r="E185" s="119"/>
      <c r="F185" s="119"/>
      <c r="G185" s="119"/>
      <c r="H185" s="119"/>
      <c r="I185" s="119"/>
      <c r="J185" s="119"/>
      <c r="K185" s="1"/>
      <c r="Y185" s="5" t="str">
        <f t="shared" si="4"/>
        <v/>
      </c>
      <c r="Z185"/>
      <c r="AA185" s="7" t="s">
        <v>348</v>
      </c>
    </row>
    <row r="186" spans="1:27" ht="9.75" customHeight="1" x14ac:dyDescent="0.25">
      <c r="A186" s="1"/>
      <c r="B186" s="70"/>
      <c r="C186" s="26"/>
      <c r="D186" s="26"/>
      <c r="E186" s="26"/>
      <c r="F186" s="26"/>
      <c r="G186" s="26"/>
      <c r="H186" s="26"/>
      <c r="I186" s="26"/>
      <c r="J186" s="26"/>
      <c r="K186" s="1"/>
      <c r="Y186" s="5" t="str">
        <f t="shared" si="4"/>
        <v/>
      </c>
      <c r="Z186"/>
      <c r="AA186" s="7" t="s">
        <v>349</v>
      </c>
    </row>
    <row r="187" spans="1:27" ht="28.5" customHeight="1" x14ac:dyDescent="0.25">
      <c r="A187" s="1"/>
      <c r="B187" s="71" t="s">
        <v>350</v>
      </c>
      <c r="C187" s="71" t="s">
        <v>351</v>
      </c>
      <c r="D187" s="72"/>
      <c r="E187" s="120" t="s">
        <v>352</v>
      </c>
      <c r="F187" s="120"/>
      <c r="G187" s="72" t="s">
        <v>353</v>
      </c>
      <c r="H187" s="73" t="s">
        <v>354</v>
      </c>
      <c r="I187" s="120" t="s">
        <v>355</v>
      </c>
      <c r="J187" s="120"/>
      <c r="K187" s="1"/>
      <c r="Y187" s="5" t="str">
        <f t="shared" si="4"/>
        <v/>
      </c>
      <c r="Z187"/>
      <c r="AA187" s="7" t="s">
        <v>356</v>
      </c>
    </row>
    <row r="188" spans="1:27" ht="24" customHeight="1" thickBot="1" x14ac:dyDescent="0.3">
      <c r="A188" s="1"/>
      <c r="B188" s="94" t="s">
        <v>510</v>
      </c>
      <c r="C188" s="116" t="s">
        <v>511</v>
      </c>
      <c r="D188" s="116"/>
      <c r="E188" s="117" t="s">
        <v>522</v>
      </c>
      <c r="F188" s="118"/>
      <c r="G188" s="75">
        <v>2019</v>
      </c>
      <c r="H188" s="76" t="s">
        <v>512</v>
      </c>
      <c r="I188" s="103" t="s">
        <v>410</v>
      </c>
      <c r="J188" s="103"/>
      <c r="K188" s="1"/>
      <c r="Y188" s="5" t="str">
        <f t="shared" si="4"/>
        <v/>
      </c>
      <c r="Z188"/>
      <c r="AA188" s="7" t="s">
        <v>357</v>
      </c>
    </row>
    <row r="189" spans="1:27" ht="24" customHeight="1" thickBot="1" x14ac:dyDescent="0.3">
      <c r="A189" s="1"/>
      <c r="B189" s="93" t="s">
        <v>513</v>
      </c>
      <c r="C189" s="102" t="s">
        <v>514</v>
      </c>
      <c r="D189" s="102"/>
      <c r="E189" s="99" t="s">
        <v>523</v>
      </c>
      <c r="F189" s="100"/>
      <c r="G189" s="78">
        <v>2019</v>
      </c>
      <c r="H189" s="79" t="s">
        <v>515</v>
      </c>
      <c r="I189" s="103" t="s">
        <v>410</v>
      </c>
      <c r="J189" s="103"/>
      <c r="K189" s="1"/>
      <c r="Y189" s="5" t="str">
        <f t="shared" si="4"/>
        <v/>
      </c>
      <c r="Z189"/>
      <c r="AA189" s="7" t="s">
        <v>358</v>
      </c>
    </row>
    <row r="190" spans="1:27" ht="24" customHeight="1" thickBot="1" x14ac:dyDescent="0.3">
      <c r="A190" s="1"/>
      <c r="B190" s="77"/>
      <c r="C190" s="102"/>
      <c r="D190" s="102"/>
      <c r="E190" s="99"/>
      <c r="F190" s="100"/>
      <c r="G190" s="78"/>
      <c r="H190" s="79"/>
      <c r="I190" s="104"/>
      <c r="J190" s="104"/>
      <c r="K190" s="1"/>
      <c r="Y190" s="5" t="str">
        <f t="shared" si="4"/>
        <v/>
      </c>
      <c r="Z190"/>
      <c r="AA190" s="7" t="s">
        <v>359</v>
      </c>
    </row>
    <row r="191" spans="1:27" ht="24" customHeight="1" thickBot="1" x14ac:dyDescent="0.3">
      <c r="A191" s="1"/>
      <c r="B191" s="77"/>
      <c r="C191" s="102"/>
      <c r="D191" s="102"/>
      <c r="E191" s="99"/>
      <c r="F191" s="100"/>
      <c r="G191" s="78"/>
      <c r="H191" s="79"/>
      <c r="I191" s="104"/>
      <c r="J191" s="104"/>
      <c r="K191" s="1"/>
      <c r="Y191" s="5" t="str">
        <f t="shared" si="4"/>
        <v/>
      </c>
      <c r="Z191"/>
      <c r="AA191" s="7" t="s">
        <v>360</v>
      </c>
    </row>
    <row r="192" spans="1:27" ht="24" customHeight="1" thickBot="1" x14ac:dyDescent="0.3">
      <c r="A192" s="1"/>
      <c r="B192" s="77"/>
      <c r="C192" s="102"/>
      <c r="D192" s="102"/>
      <c r="E192" s="99"/>
      <c r="F192" s="100"/>
      <c r="G192" s="78"/>
      <c r="H192" s="79"/>
      <c r="I192" s="104"/>
      <c r="J192" s="104"/>
      <c r="K192" s="1"/>
      <c r="Y192" s="5" t="str">
        <f t="shared" si="4"/>
        <v/>
      </c>
      <c r="Z192"/>
      <c r="AA192" s="7" t="s">
        <v>361</v>
      </c>
    </row>
    <row r="193" spans="1:27" ht="24" customHeight="1" thickBot="1" x14ac:dyDescent="0.3">
      <c r="A193" s="1"/>
      <c r="B193" s="77"/>
      <c r="C193" s="102"/>
      <c r="D193" s="102"/>
      <c r="E193" s="99"/>
      <c r="F193" s="100"/>
      <c r="G193" s="78"/>
      <c r="H193" s="79"/>
      <c r="I193" s="104"/>
      <c r="J193" s="104"/>
      <c r="K193" s="1"/>
      <c r="Y193" s="5" t="str">
        <f t="shared" si="4"/>
        <v/>
      </c>
      <c r="Z193"/>
      <c r="AA193" s="7" t="s">
        <v>362</v>
      </c>
    </row>
    <row r="194" spans="1:27" ht="24" customHeight="1" thickBot="1" x14ac:dyDescent="0.3">
      <c r="A194" s="1"/>
      <c r="B194" s="77"/>
      <c r="C194" s="102"/>
      <c r="D194" s="102"/>
      <c r="E194" s="99"/>
      <c r="F194" s="100"/>
      <c r="G194" s="78"/>
      <c r="H194" s="79"/>
      <c r="I194" s="104"/>
      <c r="J194" s="104"/>
      <c r="K194" s="1"/>
      <c r="Y194" s="5" t="str">
        <f t="shared" si="4"/>
        <v/>
      </c>
      <c r="Z194"/>
      <c r="AA194" s="7" t="s">
        <v>363</v>
      </c>
    </row>
    <row r="195" spans="1:27" ht="24" customHeight="1" thickBot="1" x14ac:dyDescent="0.3">
      <c r="A195" s="1"/>
      <c r="B195" s="77"/>
      <c r="C195" s="102"/>
      <c r="D195" s="102"/>
      <c r="E195" s="99"/>
      <c r="F195" s="100"/>
      <c r="G195" s="78"/>
      <c r="H195" s="79"/>
      <c r="I195" s="104"/>
      <c r="J195" s="104"/>
      <c r="K195" s="1"/>
      <c r="Y195" s="5" t="str">
        <f t="shared" si="4"/>
        <v/>
      </c>
      <c r="Z195"/>
      <c r="AA195" s="7" t="s">
        <v>364</v>
      </c>
    </row>
    <row r="196" spans="1:27" ht="24" customHeight="1" thickBot="1" x14ac:dyDescent="0.3">
      <c r="A196" s="1"/>
      <c r="B196" s="77"/>
      <c r="C196" s="102"/>
      <c r="D196" s="102"/>
      <c r="E196" s="99"/>
      <c r="F196" s="100"/>
      <c r="G196" s="78"/>
      <c r="H196" s="79"/>
      <c r="I196" s="104"/>
      <c r="J196" s="104"/>
      <c r="K196" s="1"/>
      <c r="Y196" s="5" t="str">
        <f t="shared" si="4"/>
        <v/>
      </c>
      <c r="Z196"/>
      <c r="AA196" s="7" t="s">
        <v>365</v>
      </c>
    </row>
    <row r="197" spans="1:27" ht="24" customHeight="1" thickBot="1" x14ac:dyDescent="0.3">
      <c r="A197" s="1"/>
      <c r="B197" s="77"/>
      <c r="C197" s="102"/>
      <c r="D197" s="102"/>
      <c r="E197" s="99"/>
      <c r="F197" s="100"/>
      <c r="G197" s="78"/>
      <c r="H197" s="79"/>
      <c r="I197" s="104"/>
      <c r="J197" s="104"/>
      <c r="K197" s="1"/>
      <c r="Y197" s="5" t="str">
        <f t="shared" si="4"/>
        <v/>
      </c>
      <c r="Z197"/>
      <c r="AA197" s="7" t="s">
        <v>366</v>
      </c>
    </row>
    <row r="198" spans="1:27" ht="24" customHeight="1" thickBot="1" x14ac:dyDescent="0.3">
      <c r="A198" s="1"/>
      <c r="B198" s="77"/>
      <c r="C198" s="102"/>
      <c r="D198" s="102"/>
      <c r="E198" s="99"/>
      <c r="F198" s="100"/>
      <c r="G198" s="78"/>
      <c r="H198" s="79"/>
      <c r="I198" s="104"/>
      <c r="J198" s="104"/>
      <c r="K198" s="1"/>
      <c r="Y198" s="5" t="str">
        <f t="shared" si="4"/>
        <v/>
      </c>
      <c r="Z198"/>
      <c r="AA198" s="7" t="s">
        <v>367</v>
      </c>
    </row>
    <row r="199" spans="1:27" ht="24" customHeight="1" thickBot="1" x14ac:dyDescent="0.3">
      <c r="A199" s="1"/>
      <c r="B199" s="77"/>
      <c r="C199" s="102"/>
      <c r="D199" s="102"/>
      <c r="E199" s="99"/>
      <c r="F199" s="100"/>
      <c r="G199" s="78"/>
      <c r="H199" s="79"/>
      <c r="I199" s="104"/>
      <c r="J199" s="104"/>
      <c r="K199" s="1"/>
      <c r="Y199" s="5" t="str">
        <f t="shared" si="4"/>
        <v/>
      </c>
      <c r="Z199"/>
      <c r="AA199" s="7" t="s">
        <v>368</v>
      </c>
    </row>
    <row r="200" spans="1:27" ht="24" customHeight="1" thickBot="1" x14ac:dyDescent="0.3">
      <c r="A200" s="1"/>
      <c r="B200" s="77"/>
      <c r="C200" s="98"/>
      <c r="D200" s="98"/>
      <c r="E200" s="114"/>
      <c r="F200" s="115"/>
      <c r="G200" s="78"/>
      <c r="H200" s="79"/>
      <c r="I200" s="101"/>
      <c r="J200" s="101"/>
      <c r="K200" s="1"/>
      <c r="Y200" s="5" t="str">
        <f t="shared" si="4"/>
        <v/>
      </c>
      <c r="Z200"/>
      <c r="AA200" s="7" t="s">
        <v>369</v>
      </c>
    </row>
    <row r="201" spans="1:27" ht="24" customHeight="1" x14ac:dyDescent="0.25">
      <c r="A201" s="1"/>
      <c r="B201" s="1"/>
      <c r="C201" s="1"/>
      <c r="D201" s="1"/>
      <c r="E201" s="1"/>
      <c r="F201" s="1"/>
      <c r="G201" s="1"/>
      <c r="H201" s="1"/>
      <c r="I201" s="1"/>
      <c r="J201" s="1"/>
      <c r="K201" s="1"/>
      <c r="Y201" s="5" t="str">
        <f t="shared" si="4"/>
        <v/>
      </c>
      <c r="Z201"/>
      <c r="AA201" s="7" t="s">
        <v>370</v>
      </c>
    </row>
    <row r="202" spans="1:27" ht="24" customHeight="1" x14ac:dyDescent="0.25">
      <c r="A202" s="1"/>
      <c r="B202" s="130" t="s">
        <v>371</v>
      </c>
      <c r="C202" s="130"/>
      <c r="D202" s="130"/>
      <c r="E202" s="130"/>
      <c r="F202" s="130"/>
      <c r="G202" s="130"/>
      <c r="H202" s="130"/>
      <c r="I202" s="130" t="s">
        <v>215</v>
      </c>
      <c r="J202" s="68" t="s">
        <v>372</v>
      </c>
      <c r="K202" s="1"/>
      <c r="Y202" s="5" t="str">
        <f t="shared" si="4"/>
        <v/>
      </c>
      <c r="Z202"/>
      <c r="AA202" s="7" t="s">
        <v>373</v>
      </c>
    </row>
    <row r="203" spans="1:27" ht="6" customHeight="1" x14ac:dyDescent="0.25">
      <c r="A203" s="1"/>
      <c r="B203" s="69"/>
      <c r="C203" s="26"/>
      <c r="D203" s="26"/>
      <c r="E203" s="26"/>
      <c r="F203" s="26"/>
      <c r="G203" s="26"/>
      <c r="H203" s="26"/>
      <c r="I203" s="26"/>
      <c r="J203" s="26"/>
      <c r="K203" s="1"/>
      <c r="Y203" s="5" t="str">
        <f t="shared" si="4"/>
        <v/>
      </c>
      <c r="Z203"/>
      <c r="AA203" s="23" t="s">
        <v>374</v>
      </c>
    </row>
    <row r="204" spans="1:27" ht="24" customHeight="1" x14ac:dyDescent="0.25">
      <c r="A204" s="1"/>
      <c r="B204" s="119" t="s">
        <v>408</v>
      </c>
      <c r="C204" s="119"/>
      <c r="D204" s="119"/>
      <c r="E204" s="119"/>
      <c r="F204" s="119"/>
      <c r="G204" s="119"/>
      <c r="H204" s="119"/>
      <c r="I204" s="119"/>
      <c r="J204" s="119"/>
      <c r="K204" s="1"/>
      <c r="Y204" s="5" t="str">
        <f t="shared" ref="Y204:Y218" si="5">+SUBSTITUTE(Z204," ","_")</f>
        <v/>
      </c>
      <c r="Z204" s="92"/>
      <c r="AA204" s="7" t="s">
        <v>376</v>
      </c>
    </row>
    <row r="205" spans="1:27" ht="9.75" customHeight="1" x14ac:dyDescent="0.25">
      <c r="A205" s="1"/>
      <c r="B205" s="70"/>
      <c r="C205" s="26"/>
      <c r="D205" s="26"/>
      <c r="E205" s="26"/>
      <c r="F205" s="26"/>
      <c r="G205" s="26"/>
      <c r="H205" s="26"/>
      <c r="I205" s="26"/>
      <c r="J205" s="26"/>
      <c r="K205" s="1"/>
      <c r="Y205" s="5" t="str">
        <f t="shared" si="5"/>
        <v/>
      </c>
      <c r="Z205" s="92"/>
      <c r="AA205" s="7" t="s">
        <v>377</v>
      </c>
    </row>
    <row r="206" spans="1:27" ht="27" customHeight="1" thickBot="1" x14ac:dyDescent="0.3">
      <c r="A206" s="1"/>
      <c r="B206" s="71" t="s">
        <v>350</v>
      </c>
      <c r="C206" s="71" t="s">
        <v>351</v>
      </c>
      <c r="D206" s="72"/>
      <c r="E206" s="120" t="s">
        <v>352</v>
      </c>
      <c r="F206" s="120"/>
      <c r="G206" s="72" t="s">
        <v>353</v>
      </c>
      <c r="H206" s="90" t="s">
        <v>354</v>
      </c>
      <c r="I206" s="120" t="s">
        <v>355</v>
      </c>
      <c r="J206" s="120"/>
      <c r="K206" s="1"/>
      <c r="Y206" s="5" t="str">
        <f t="shared" si="5"/>
        <v/>
      </c>
      <c r="Z206" s="92"/>
      <c r="AA206" s="7" t="s">
        <v>378</v>
      </c>
    </row>
    <row r="207" spans="1:27" ht="24" customHeight="1" thickBot="1" x14ac:dyDescent="0.3">
      <c r="A207" s="1"/>
      <c r="B207" s="91" t="s">
        <v>414</v>
      </c>
      <c r="C207" s="116" t="s">
        <v>411</v>
      </c>
      <c r="D207" s="116"/>
      <c r="E207" s="117" t="s">
        <v>412</v>
      </c>
      <c r="F207" s="118"/>
      <c r="G207" s="75" t="s">
        <v>413</v>
      </c>
      <c r="H207" s="79">
        <v>675000</v>
      </c>
      <c r="I207" s="103" t="s">
        <v>410</v>
      </c>
      <c r="J207" s="103"/>
      <c r="K207" s="1"/>
      <c r="Y207" s="5" t="str">
        <f t="shared" si="5"/>
        <v/>
      </c>
      <c r="Z207" s="92"/>
      <c r="AA207" s="7" t="s">
        <v>379</v>
      </c>
    </row>
    <row r="208" spans="1:27" ht="24" customHeight="1" thickBot="1" x14ac:dyDescent="0.3">
      <c r="A208" s="1"/>
      <c r="B208" s="91" t="s">
        <v>415</v>
      </c>
      <c r="C208" s="116" t="s">
        <v>416</v>
      </c>
      <c r="D208" s="116"/>
      <c r="E208" s="125" t="s">
        <v>412</v>
      </c>
      <c r="F208" s="126"/>
      <c r="G208" s="78" t="s">
        <v>417</v>
      </c>
      <c r="H208" s="79">
        <v>6125000</v>
      </c>
      <c r="I208" s="103" t="s">
        <v>410</v>
      </c>
      <c r="J208" s="103"/>
      <c r="K208" s="1"/>
      <c r="Y208" s="5" t="str">
        <f t="shared" si="5"/>
        <v/>
      </c>
      <c r="Z208" s="92"/>
      <c r="AA208" s="7" t="s">
        <v>380</v>
      </c>
    </row>
    <row r="209" spans="1:27" ht="24" customHeight="1" thickBot="1" x14ac:dyDescent="0.3">
      <c r="A209" s="1"/>
      <c r="B209" s="91" t="s">
        <v>418</v>
      </c>
      <c r="C209" s="102" t="s">
        <v>419</v>
      </c>
      <c r="D209" s="102"/>
      <c r="E209" s="99" t="s">
        <v>420</v>
      </c>
      <c r="F209" s="100"/>
      <c r="G209" s="78" t="s">
        <v>417</v>
      </c>
      <c r="H209" s="79">
        <v>1600000</v>
      </c>
      <c r="I209" s="103" t="s">
        <v>410</v>
      </c>
      <c r="J209" s="103"/>
      <c r="K209" s="1"/>
      <c r="Y209" s="5" t="str">
        <f t="shared" si="5"/>
        <v/>
      </c>
      <c r="Z209" s="92"/>
      <c r="AA209" s="7" t="s">
        <v>381</v>
      </c>
    </row>
    <row r="210" spans="1:27" ht="24" customHeight="1" thickBot="1" x14ac:dyDescent="0.3">
      <c r="A210" s="1"/>
      <c r="B210" s="91" t="s">
        <v>421</v>
      </c>
      <c r="C210" s="102" t="s">
        <v>422</v>
      </c>
      <c r="D210" s="102"/>
      <c r="E210" s="99" t="s">
        <v>423</v>
      </c>
      <c r="F210" s="100"/>
      <c r="G210" s="78" t="s">
        <v>424</v>
      </c>
      <c r="H210" s="79">
        <v>8347000</v>
      </c>
      <c r="I210" s="103" t="s">
        <v>410</v>
      </c>
      <c r="J210" s="103"/>
      <c r="K210" s="1"/>
      <c r="Y210" s="5" t="str">
        <f t="shared" si="5"/>
        <v/>
      </c>
      <c r="Z210" s="92"/>
      <c r="AA210" s="7" t="s">
        <v>382</v>
      </c>
    </row>
    <row r="211" spans="1:27" ht="24" customHeight="1" thickBot="1" x14ac:dyDescent="0.3">
      <c r="A211" s="1"/>
      <c r="B211" s="91" t="s">
        <v>545</v>
      </c>
      <c r="C211" s="102" t="s">
        <v>546</v>
      </c>
      <c r="D211" s="102"/>
      <c r="E211" s="99" t="s">
        <v>547</v>
      </c>
      <c r="F211" s="100"/>
      <c r="G211" s="78" t="s">
        <v>409</v>
      </c>
      <c r="H211" s="79">
        <v>1328000</v>
      </c>
      <c r="I211" s="103" t="s">
        <v>410</v>
      </c>
      <c r="J211" s="103"/>
      <c r="K211" s="1"/>
      <c r="Y211" s="5" t="str">
        <f t="shared" si="5"/>
        <v/>
      </c>
      <c r="Z211" s="92"/>
      <c r="AA211" s="7" t="s">
        <v>383</v>
      </c>
    </row>
    <row r="212" spans="1:27" ht="24" customHeight="1" thickBot="1" x14ac:dyDescent="0.3">
      <c r="A212" s="1"/>
      <c r="B212" s="91" t="s">
        <v>555</v>
      </c>
      <c r="C212" s="102" t="s">
        <v>546</v>
      </c>
      <c r="D212" s="102"/>
      <c r="E212" s="99" t="s">
        <v>542</v>
      </c>
      <c r="F212" s="100"/>
      <c r="G212" s="78" t="s">
        <v>417</v>
      </c>
      <c r="H212" s="79">
        <v>2670000</v>
      </c>
      <c r="I212" s="103" t="s">
        <v>410</v>
      </c>
      <c r="J212" s="103"/>
      <c r="K212" s="1"/>
      <c r="Y212" s="5" t="str">
        <f t="shared" si="5"/>
        <v/>
      </c>
      <c r="Z212" s="92"/>
      <c r="AA212" s="7" t="s">
        <v>384</v>
      </c>
    </row>
    <row r="213" spans="1:27" ht="24" customHeight="1" thickBot="1" x14ac:dyDescent="0.3">
      <c r="A213" s="1"/>
      <c r="B213" s="91" t="s">
        <v>556</v>
      </c>
      <c r="C213" s="102" t="s">
        <v>546</v>
      </c>
      <c r="D213" s="102"/>
      <c r="E213" s="99" t="s">
        <v>557</v>
      </c>
      <c r="F213" s="100"/>
      <c r="G213" s="78" t="s">
        <v>417</v>
      </c>
      <c r="H213" s="79">
        <v>2395000</v>
      </c>
      <c r="I213" s="103" t="s">
        <v>410</v>
      </c>
      <c r="J213" s="103"/>
      <c r="K213" s="1"/>
      <c r="Y213" s="5" t="str">
        <f t="shared" si="5"/>
        <v/>
      </c>
      <c r="Z213" s="92"/>
      <c r="AA213" s="7" t="s">
        <v>385</v>
      </c>
    </row>
    <row r="214" spans="1:27" ht="24" customHeight="1" thickBot="1" x14ac:dyDescent="0.3">
      <c r="A214" s="1"/>
      <c r="B214" s="91" t="s">
        <v>570</v>
      </c>
      <c r="C214" s="102" t="s">
        <v>546</v>
      </c>
      <c r="D214" s="102"/>
      <c r="E214" s="99" t="s">
        <v>542</v>
      </c>
      <c r="F214" s="100"/>
      <c r="G214" s="78" t="s">
        <v>413</v>
      </c>
      <c r="H214" s="79">
        <v>1520000</v>
      </c>
      <c r="I214" s="103" t="s">
        <v>410</v>
      </c>
      <c r="J214" s="103"/>
      <c r="K214" s="1"/>
      <c r="Y214" s="5" t="str">
        <f t="shared" si="5"/>
        <v/>
      </c>
      <c r="Z214" s="92"/>
      <c r="AA214" s="7" t="s">
        <v>386</v>
      </c>
    </row>
    <row r="215" spans="1:27" ht="24" customHeight="1" thickBot="1" x14ac:dyDescent="0.3">
      <c r="A215" s="1"/>
      <c r="B215" s="91"/>
      <c r="C215" s="102"/>
      <c r="D215" s="102"/>
      <c r="E215" s="99"/>
      <c r="F215" s="100"/>
      <c r="G215" s="78"/>
      <c r="H215" s="79"/>
      <c r="I215" s="104"/>
      <c r="J215" s="104"/>
      <c r="K215" s="1"/>
      <c r="Y215" s="5" t="str">
        <f t="shared" si="5"/>
        <v/>
      </c>
      <c r="Z215" s="92"/>
      <c r="AA215" s="7" t="s">
        <v>387</v>
      </c>
    </row>
    <row r="216" spans="1:27" ht="24" customHeight="1" thickBot="1" x14ac:dyDescent="0.3">
      <c r="A216" s="1"/>
      <c r="B216" s="80"/>
      <c r="C216" s="98"/>
      <c r="D216" s="98"/>
      <c r="E216" s="99"/>
      <c r="F216" s="100"/>
      <c r="G216" s="81"/>
      <c r="H216" s="82"/>
      <c r="I216" s="101"/>
      <c r="J216" s="101"/>
      <c r="K216" s="1"/>
      <c r="Y216" s="5" t="str">
        <f t="shared" si="5"/>
        <v/>
      </c>
      <c r="Z216" s="92"/>
      <c r="AA216" s="7" t="s">
        <v>388</v>
      </c>
    </row>
    <row r="217" spans="1:27" ht="9" customHeight="1" x14ac:dyDescent="0.25">
      <c r="A217" s="1"/>
      <c r="B217" s="83"/>
      <c r="C217" s="1"/>
      <c r="D217" s="1"/>
      <c r="E217" s="1"/>
      <c r="F217" s="1"/>
      <c r="G217" s="84"/>
      <c r="H217" s="84"/>
      <c r="I217" s="1"/>
      <c r="J217" s="1"/>
      <c r="K217" s="1"/>
      <c r="Y217" s="5" t="str">
        <f t="shared" si="5"/>
        <v/>
      </c>
      <c r="Z217" s="92"/>
      <c r="AA217" s="7" t="s">
        <v>389</v>
      </c>
    </row>
    <row r="218" spans="1:27" ht="24" customHeight="1" x14ac:dyDescent="0.25">
      <c r="A218" s="1"/>
      <c r="B218" s="69"/>
      <c r="C218" s="26"/>
      <c r="D218" s="26"/>
      <c r="E218" s="26"/>
      <c r="F218" s="26"/>
      <c r="G218" s="26"/>
      <c r="H218" s="26"/>
      <c r="I218" s="26"/>
      <c r="J218" s="26"/>
      <c r="K218" s="1"/>
      <c r="Y218" s="5" t="str">
        <f t="shared" si="5"/>
        <v/>
      </c>
      <c r="Z218" s="92"/>
      <c r="AA218" s="7" t="s">
        <v>390</v>
      </c>
    </row>
    <row r="219" spans="1:27" ht="24" customHeight="1" x14ac:dyDescent="0.25">
      <c r="A219" s="1"/>
      <c r="B219" s="119" t="s">
        <v>375</v>
      </c>
      <c r="C219" s="119"/>
      <c r="D219" s="119"/>
      <c r="E219" s="119"/>
      <c r="F219" s="119"/>
      <c r="G219" s="119"/>
      <c r="H219" s="119"/>
      <c r="I219" s="119"/>
      <c r="J219" s="119"/>
      <c r="K219" s="1"/>
      <c r="Y219" s="5" t="str">
        <f t="shared" si="4"/>
        <v/>
      </c>
      <c r="Z219"/>
      <c r="AA219" s="7" t="s">
        <v>376</v>
      </c>
    </row>
    <row r="220" spans="1:27" ht="9.75" customHeight="1" x14ac:dyDescent="0.25">
      <c r="A220" s="1"/>
      <c r="B220" s="70"/>
      <c r="C220" s="26"/>
      <c r="D220" s="26"/>
      <c r="E220" s="26"/>
      <c r="F220" s="26"/>
      <c r="G220" s="26"/>
      <c r="H220" s="26"/>
      <c r="I220" s="26"/>
      <c r="J220" s="26"/>
      <c r="K220" s="1"/>
      <c r="Y220" s="5" t="str">
        <f t="shared" si="4"/>
        <v/>
      </c>
      <c r="Z220"/>
      <c r="AA220" s="7" t="s">
        <v>377</v>
      </c>
    </row>
    <row r="221" spans="1:27" ht="27" customHeight="1" thickBot="1" x14ac:dyDescent="0.3">
      <c r="A221" s="1"/>
      <c r="B221" s="71" t="s">
        <v>350</v>
      </c>
      <c r="C221" s="71" t="s">
        <v>351</v>
      </c>
      <c r="D221" s="72"/>
      <c r="E221" s="120" t="s">
        <v>352</v>
      </c>
      <c r="F221" s="120"/>
      <c r="G221" s="72" t="s">
        <v>353</v>
      </c>
      <c r="H221" s="73" t="s">
        <v>354</v>
      </c>
      <c r="I221" s="120" t="s">
        <v>355</v>
      </c>
      <c r="J221" s="120"/>
      <c r="K221" s="1"/>
      <c r="Y221" s="5" t="str">
        <f t="shared" si="4"/>
        <v/>
      </c>
      <c r="Z221"/>
      <c r="AA221" s="7" t="s">
        <v>378</v>
      </c>
    </row>
    <row r="222" spans="1:27" ht="24" customHeight="1" thickBot="1" x14ac:dyDescent="0.3">
      <c r="A222" s="1"/>
      <c r="B222" s="77" t="s">
        <v>519</v>
      </c>
      <c r="C222" s="116" t="s">
        <v>520</v>
      </c>
      <c r="D222" s="116"/>
      <c r="E222" s="117" t="s">
        <v>521</v>
      </c>
      <c r="F222" s="118"/>
      <c r="G222" s="75">
        <v>2020</v>
      </c>
      <c r="H222" s="79">
        <v>339295.72</v>
      </c>
      <c r="I222" s="103" t="s">
        <v>410</v>
      </c>
      <c r="J222" s="103"/>
      <c r="K222" s="1"/>
      <c r="Y222" s="5" t="str">
        <f t="shared" si="4"/>
        <v/>
      </c>
      <c r="Z222"/>
      <c r="AA222" s="7" t="s">
        <v>379</v>
      </c>
    </row>
    <row r="223" spans="1:27" ht="24" customHeight="1" thickBot="1" x14ac:dyDescent="0.3">
      <c r="A223" s="1"/>
      <c r="B223" s="77" t="s">
        <v>581</v>
      </c>
      <c r="C223" s="116" t="s">
        <v>582</v>
      </c>
      <c r="D223" s="116"/>
      <c r="E223" s="125" t="s">
        <v>576</v>
      </c>
      <c r="F223" s="126"/>
      <c r="G223" s="78" t="s">
        <v>413</v>
      </c>
      <c r="H223" s="79">
        <v>8200000</v>
      </c>
      <c r="I223" s="103" t="s">
        <v>410</v>
      </c>
      <c r="J223" s="103"/>
      <c r="K223" s="1"/>
      <c r="Y223" s="5" t="str">
        <f t="shared" si="4"/>
        <v/>
      </c>
      <c r="Z223"/>
      <c r="AA223" s="7" t="s">
        <v>380</v>
      </c>
    </row>
    <row r="224" spans="1:27" ht="24" customHeight="1" thickBot="1" x14ac:dyDescent="0.3">
      <c r="A224" s="1"/>
      <c r="B224" s="77"/>
      <c r="C224" s="102"/>
      <c r="D224" s="102"/>
      <c r="E224" s="99"/>
      <c r="F224" s="100"/>
      <c r="G224" s="78"/>
      <c r="H224" s="79"/>
      <c r="I224" s="103"/>
      <c r="J224" s="103"/>
      <c r="K224" s="1"/>
      <c r="Y224" s="5" t="str">
        <f t="shared" si="4"/>
        <v/>
      </c>
      <c r="Z224"/>
      <c r="AA224" s="7" t="s">
        <v>381</v>
      </c>
    </row>
    <row r="225" spans="1:27" ht="24" customHeight="1" thickBot="1" x14ac:dyDescent="0.3">
      <c r="A225" s="1"/>
      <c r="B225" s="77"/>
      <c r="C225" s="102"/>
      <c r="D225" s="102"/>
      <c r="E225" s="99"/>
      <c r="F225" s="100"/>
      <c r="G225" s="78"/>
      <c r="H225" s="79"/>
      <c r="I225" s="103"/>
      <c r="J225" s="103"/>
      <c r="K225" s="1"/>
      <c r="Y225" s="5" t="str">
        <f t="shared" si="4"/>
        <v/>
      </c>
      <c r="Z225"/>
      <c r="AA225" s="7" t="s">
        <v>382</v>
      </c>
    </row>
    <row r="226" spans="1:27" ht="24" customHeight="1" thickBot="1" x14ac:dyDescent="0.3">
      <c r="A226" s="1"/>
      <c r="B226" s="77"/>
      <c r="C226" s="102"/>
      <c r="D226" s="102"/>
      <c r="E226" s="99"/>
      <c r="F226" s="100"/>
      <c r="G226" s="78"/>
      <c r="H226" s="79"/>
      <c r="I226" s="103"/>
      <c r="J226" s="103"/>
      <c r="K226" s="1"/>
      <c r="Y226" s="5" t="str">
        <f t="shared" si="4"/>
        <v/>
      </c>
      <c r="Z226"/>
      <c r="AA226" s="7" t="s">
        <v>383</v>
      </c>
    </row>
    <row r="227" spans="1:27" ht="24" customHeight="1" thickBot="1" x14ac:dyDescent="0.3">
      <c r="A227" s="1"/>
      <c r="B227" s="77"/>
      <c r="C227" s="102"/>
      <c r="D227" s="102"/>
      <c r="E227" s="99"/>
      <c r="F227" s="100"/>
      <c r="G227" s="78"/>
      <c r="H227" s="79"/>
      <c r="I227" s="103"/>
      <c r="J227" s="103"/>
      <c r="K227" s="1"/>
      <c r="Y227" s="5" t="str">
        <f t="shared" si="4"/>
        <v/>
      </c>
      <c r="Z227"/>
      <c r="AA227" s="7" t="s">
        <v>384</v>
      </c>
    </row>
    <row r="228" spans="1:27" ht="24" customHeight="1" thickBot="1" x14ac:dyDescent="0.3">
      <c r="A228" s="1"/>
      <c r="B228" s="77"/>
      <c r="C228" s="102"/>
      <c r="D228" s="102"/>
      <c r="E228" s="99"/>
      <c r="F228" s="100"/>
      <c r="G228" s="78"/>
      <c r="H228" s="79"/>
      <c r="I228" s="103"/>
      <c r="J228" s="103"/>
      <c r="K228" s="1"/>
      <c r="Y228" s="5" t="str">
        <f t="shared" si="4"/>
        <v/>
      </c>
      <c r="Z228"/>
      <c r="AA228" s="7" t="s">
        <v>385</v>
      </c>
    </row>
    <row r="229" spans="1:27" ht="24" customHeight="1" thickBot="1" x14ac:dyDescent="0.3">
      <c r="A229" s="1"/>
      <c r="B229" s="77"/>
      <c r="C229" s="102"/>
      <c r="D229" s="102"/>
      <c r="E229" s="99"/>
      <c r="F229" s="100"/>
      <c r="G229" s="78"/>
      <c r="H229" s="79"/>
      <c r="I229" s="103"/>
      <c r="J229" s="103"/>
      <c r="K229" s="1"/>
      <c r="Y229" s="5" t="str">
        <f t="shared" si="4"/>
        <v/>
      </c>
      <c r="Z229"/>
      <c r="AA229" s="7" t="s">
        <v>386</v>
      </c>
    </row>
    <row r="230" spans="1:27" ht="24" customHeight="1" thickBot="1" x14ac:dyDescent="0.3">
      <c r="A230" s="1"/>
      <c r="B230" s="77"/>
      <c r="C230" s="102"/>
      <c r="D230" s="102"/>
      <c r="E230" s="99"/>
      <c r="F230" s="100"/>
      <c r="G230" s="78"/>
      <c r="H230" s="79"/>
      <c r="I230" s="104"/>
      <c r="J230" s="104"/>
      <c r="K230" s="1"/>
      <c r="Y230" s="5" t="str">
        <f t="shared" si="4"/>
        <v/>
      </c>
      <c r="Z230"/>
      <c r="AA230" s="7" t="s">
        <v>387</v>
      </c>
    </row>
    <row r="231" spans="1:27" ht="24" customHeight="1" thickBot="1" x14ac:dyDescent="0.3">
      <c r="A231" s="1"/>
      <c r="B231" s="80"/>
      <c r="C231" s="98"/>
      <c r="D231" s="98"/>
      <c r="E231" s="99"/>
      <c r="F231" s="100"/>
      <c r="G231" s="81"/>
      <c r="H231" s="82"/>
      <c r="I231" s="101"/>
      <c r="J231" s="101"/>
      <c r="K231" s="1"/>
      <c r="Y231" s="5" t="str">
        <f t="shared" si="4"/>
        <v/>
      </c>
      <c r="Z231"/>
      <c r="AA231" s="7" t="s">
        <v>388</v>
      </c>
    </row>
    <row r="232" spans="1:27" ht="9" customHeight="1" x14ac:dyDescent="0.25">
      <c r="A232" s="1"/>
      <c r="B232" s="83"/>
      <c r="C232" s="1"/>
      <c r="D232" s="1"/>
      <c r="E232" s="1"/>
      <c r="F232" s="1"/>
      <c r="G232" s="84"/>
      <c r="H232" s="84"/>
      <c r="I232" s="1"/>
      <c r="J232" s="1"/>
      <c r="K232" s="1"/>
      <c r="Y232" s="5" t="str">
        <f t="shared" si="4"/>
        <v/>
      </c>
      <c r="Z232"/>
      <c r="AA232" s="7" t="s">
        <v>389</v>
      </c>
    </row>
    <row r="233" spans="1:27" ht="24" customHeight="1" x14ac:dyDescent="0.25">
      <c r="A233" s="1"/>
      <c r="B233" s="69"/>
      <c r="C233" s="26"/>
      <c r="D233" s="26"/>
      <c r="E233" s="26"/>
      <c r="F233" s="26"/>
      <c r="G233" s="26"/>
      <c r="H233" s="26"/>
      <c r="I233" s="26"/>
      <c r="J233" s="26"/>
      <c r="K233" s="1"/>
      <c r="Y233" s="5" t="str">
        <f t="shared" si="4"/>
        <v/>
      </c>
      <c r="Z233"/>
      <c r="AA233" s="7" t="s">
        <v>390</v>
      </c>
    </row>
    <row r="234" spans="1:27" ht="24" customHeight="1" x14ac:dyDescent="0.25">
      <c r="A234" s="1"/>
      <c r="B234" s="119" t="s">
        <v>391</v>
      </c>
      <c r="C234" s="119"/>
      <c r="D234" s="119"/>
      <c r="E234" s="119"/>
      <c r="F234" s="119"/>
      <c r="G234" s="119"/>
      <c r="H234" s="119"/>
      <c r="I234" s="119"/>
      <c r="J234" s="119"/>
      <c r="K234" s="1"/>
      <c r="Y234" s="5" t="str">
        <f t="shared" si="4"/>
        <v/>
      </c>
      <c r="Z234"/>
      <c r="AA234" s="7" t="s">
        <v>392</v>
      </c>
    </row>
    <row r="235" spans="1:27" ht="24" customHeight="1" x14ac:dyDescent="0.25">
      <c r="A235" s="1"/>
      <c r="B235" s="70"/>
      <c r="C235" s="26"/>
      <c r="D235" s="26"/>
      <c r="E235" s="26"/>
      <c r="F235" s="26"/>
      <c r="G235" s="26"/>
      <c r="H235" s="26"/>
      <c r="I235" s="26"/>
      <c r="J235" s="26"/>
      <c r="K235" s="1"/>
      <c r="Y235" s="5" t="str">
        <f t="shared" si="4"/>
        <v/>
      </c>
      <c r="Z235"/>
      <c r="AA235" s="7" t="s">
        <v>393</v>
      </c>
    </row>
    <row r="236" spans="1:27" ht="24" customHeight="1" thickBot="1" x14ac:dyDescent="0.3">
      <c r="A236" s="1"/>
      <c r="B236" s="71" t="s">
        <v>350</v>
      </c>
      <c r="C236" s="71" t="s">
        <v>351</v>
      </c>
      <c r="D236" s="72"/>
      <c r="E236" s="120" t="s">
        <v>352</v>
      </c>
      <c r="F236" s="120"/>
      <c r="G236" s="72" t="s">
        <v>353</v>
      </c>
      <c r="H236" s="73" t="s">
        <v>354</v>
      </c>
      <c r="I236" s="120" t="s">
        <v>355</v>
      </c>
      <c r="J236" s="120"/>
      <c r="K236" s="1"/>
      <c r="Y236" s="5" t="str">
        <f t="shared" si="4"/>
        <v/>
      </c>
      <c r="Z236"/>
    </row>
    <row r="237" spans="1:27" ht="24" customHeight="1" thickBot="1" x14ac:dyDescent="0.3">
      <c r="A237" s="1"/>
      <c r="B237" s="77"/>
      <c r="C237" s="128"/>
      <c r="D237" s="129"/>
      <c r="E237" s="117"/>
      <c r="F237" s="118"/>
      <c r="G237" s="75"/>
      <c r="H237" s="79"/>
      <c r="I237" s="103"/>
      <c r="J237" s="103"/>
      <c r="K237" s="1"/>
      <c r="Y237" s="5" t="str">
        <f t="shared" si="4"/>
        <v/>
      </c>
      <c r="Z237"/>
    </row>
    <row r="238" spans="1:27" ht="39" customHeight="1" thickBot="1" x14ac:dyDescent="0.3">
      <c r="A238" s="1"/>
      <c r="B238" s="77"/>
      <c r="C238" s="128"/>
      <c r="D238" s="129"/>
      <c r="E238" s="99"/>
      <c r="F238" s="100"/>
      <c r="G238" s="78"/>
      <c r="H238" s="79"/>
      <c r="I238" s="103"/>
      <c r="J238" s="103"/>
      <c r="K238" s="1"/>
    </row>
    <row r="239" spans="1:27" ht="36.75" customHeight="1" thickBot="1" x14ac:dyDescent="0.3">
      <c r="A239" s="1"/>
      <c r="B239" s="77"/>
      <c r="C239" s="128"/>
      <c r="D239" s="129"/>
      <c r="E239" s="99"/>
      <c r="F239" s="100"/>
      <c r="G239" s="78"/>
      <c r="H239" s="79"/>
      <c r="I239" s="103"/>
      <c r="J239" s="103"/>
      <c r="K239" s="1"/>
    </row>
    <row r="240" spans="1:27" ht="24" customHeight="1" thickBot="1" x14ac:dyDescent="0.3">
      <c r="A240" s="1"/>
      <c r="B240" s="77"/>
      <c r="C240" s="102"/>
      <c r="D240" s="102"/>
      <c r="E240" s="99"/>
      <c r="F240" s="100"/>
      <c r="G240" s="78"/>
      <c r="H240" s="79"/>
      <c r="I240" s="104"/>
      <c r="J240" s="104"/>
      <c r="K240" s="1"/>
    </row>
    <row r="241" spans="1:11" ht="24" customHeight="1" thickBot="1" x14ac:dyDescent="0.3">
      <c r="A241" s="1"/>
      <c r="B241" s="77"/>
      <c r="C241" s="102"/>
      <c r="D241" s="102"/>
      <c r="E241" s="99"/>
      <c r="F241" s="100"/>
      <c r="G241" s="78"/>
      <c r="H241" s="79"/>
      <c r="I241" s="104"/>
      <c r="J241" s="104"/>
      <c r="K241" s="1"/>
    </row>
    <row r="242" spans="1:11" ht="24" customHeight="1" thickBot="1" x14ac:dyDescent="0.3">
      <c r="A242" s="1"/>
      <c r="B242" s="77"/>
      <c r="C242" s="102"/>
      <c r="D242" s="102"/>
      <c r="E242" s="99"/>
      <c r="F242" s="100"/>
      <c r="G242" s="78"/>
      <c r="H242" s="79"/>
      <c r="I242" s="104"/>
      <c r="J242" s="104"/>
      <c r="K242" s="1"/>
    </row>
    <row r="243" spans="1:11" ht="24" customHeight="1" thickBot="1" x14ac:dyDescent="0.3">
      <c r="A243" s="1"/>
      <c r="B243" s="77"/>
      <c r="C243" s="102"/>
      <c r="D243" s="102"/>
      <c r="E243" s="99"/>
      <c r="F243" s="100"/>
      <c r="G243" s="78"/>
      <c r="H243" s="79"/>
      <c r="I243" s="104"/>
      <c r="J243" s="104"/>
      <c r="K243" s="1"/>
    </row>
    <row r="244" spans="1:11" ht="24" customHeight="1" thickBot="1" x14ac:dyDescent="0.3">
      <c r="A244" s="1"/>
      <c r="B244" s="77"/>
      <c r="C244" s="102"/>
      <c r="D244" s="102"/>
      <c r="E244" s="99"/>
      <c r="F244" s="100"/>
      <c r="G244" s="78"/>
      <c r="H244" s="79"/>
      <c r="I244" s="104"/>
      <c r="J244" s="104"/>
      <c r="K244" s="1"/>
    </row>
    <row r="245" spans="1:11" ht="24" customHeight="1" thickBot="1" x14ac:dyDescent="0.3">
      <c r="A245" s="1"/>
      <c r="B245" s="77"/>
      <c r="C245" s="102"/>
      <c r="D245" s="102"/>
      <c r="E245" s="99"/>
      <c r="F245" s="100"/>
      <c r="G245" s="78"/>
      <c r="H245" s="79"/>
      <c r="I245" s="104"/>
      <c r="J245" s="104"/>
      <c r="K245" s="1"/>
    </row>
    <row r="246" spans="1:11" ht="24" customHeight="1" thickBot="1" x14ac:dyDescent="0.3">
      <c r="A246" s="1"/>
      <c r="B246" s="77"/>
      <c r="C246" s="102"/>
      <c r="D246" s="102"/>
      <c r="E246" s="99"/>
      <c r="F246" s="100"/>
      <c r="G246" s="78"/>
      <c r="H246" s="79"/>
      <c r="I246" s="104"/>
      <c r="J246" s="104"/>
      <c r="K246" s="1"/>
    </row>
    <row r="247" spans="1:11" ht="24" customHeight="1" thickBot="1" x14ac:dyDescent="0.3">
      <c r="A247" s="1"/>
      <c r="B247" s="77"/>
      <c r="C247" s="102"/>
      <c r="D247" s="102"/>
      <c r="E247" s="99"/>
      <c r="F247" s="100"/>
      <c r="G247" s="78"/>
      <c r="H247" s="79"/>
      <c r="I247" s="104"/>
      <c r="J247" s="104"/>
      <c r="K247" s="1"/>
    </row>
    <row r="248" spans="1:11" ht="24" customHeight="1" x14ac:dyDescent="0.25">
      <c r="A248" s="1"/>
      <c r="B248" s="80"/>
      <c r="C248" s="98"/>
      <c r="D248" s="98"/>
      <c r="E248" s="114"/>
      <c r="F248" s="115"/>
      <c r="G248" s="81"/>
      <c r="H248" s="82"/>
      <c r="I248" s="101"/>
      <c r="J248" s="101"/>
      <c r="K248" s="1"/>
    </row>
    <row r="249" spans="1:11" ht="24" customHeight="1" x14ac:dyDescent="0.25">
      <c r="A249" s="1"/>
      <c r="B249" s="83"/>
      <c r="C249" s="1"/>
      <c r="D249" s="1"/>
      <c r="E249" s="1"/>
      <c r="F249" s="1"/>
      <c r="G249" s="1"/>
      <c r="H249" s="1"/>
      <c r="I249" s="1"/>
      <c r="J249" s="1"/>
      <c r="K249" s="1"/>
    </row>
    <row r="250" spans="1:11" ht="24" customHeight="1" x14ac:dyDescent="0.25">
      <c r="A250" s="1"/>
      <c r="B250" s="69"/>
      <c r="C250" s="26"/>
      <c r="D250" s="26"/>
      <c r="E250" s="26"/>
      <c r="F250" s="26"/>
      <c r="G250" s="26"/>
      <c r="H250" s="26"/>
      <c r="I250" s="26"/>
      <c r="J250" s="26"/>
      <c r="K250" s="1"/>
    </row>
    <row r="251" spans="1:11" ht="23.25" customHeight="1" x14ac:dyDescent="0.25">
      <c r="A251" s="1"/>
      <c r="B251" s="119" t="s">
        <v>394</v>
      </c>
      <c r="C251" s="119"/>
      <c r="D251" s="119"/>
      <c r="E251" s="119"/>
      <c r="F251" s="119"/>
      <c r="G251" s="119"/>
      <c r="H251" s="119"/>
      <c r="I251" s="119"/>
      <c r="J251" s="119"/>
      <c r="K251" s="1"/>
    </row>
    <row r="252" spans="1:11" ht="22.5" customHeight="1" x14ac:dyDescent="0.25">
      <c r="A252" s="1"/>
      <c r="B252" s="70"/>
      <c r="C252" s="26"/>
      <c r="D252" s="26"/>
      <c r="E252" s="26"/>
      <c r="F252" s="26"/>
      <c r="G252" s="26"/>
      <c r="H252" s="26"/>
      <c r="I252" s="26"/>
      <c r="J252" s="26"/>
      <c r="K252" s="1"/>
    </row>
    <row r="253" spans="1:11" ht="26.25" thickBot="1" x14ac:dyDescent="0.25">
      <c r="A253" s="1"/>
      <c r="B253" s="71" t="s">
        <v>350</v>
      </c>
      <c r="C253" s="71" t="s">
        <v>351</v>
      </c>
      <c r="D253" s="72"/>
      <c r="E253" s="120" t="s">
        <v>352</v>
      </c>
      <c r="F253" s="120"/>
      <c r="G253" s="72" t="s">
        <v>353</v>
      </c>
      <c r="H253" s="73" t="s">
        <v>354</v>
      </c>
      <c r="I253" s="120" t="s">
        <v>355</v>
      </c>
      <c r="J253" s="120"/>
      <c r="K253" s="1"/>
    </row>
    <row r="254" spans="1:11" ht="3.75" customHeight="1" thickBot="1" x14ac:dyDescent="0.3">
      <c r="A254" s="1"/>
      <c r="B254" s="77" t="s">
        <v>395</v>
      </c>
      <c r="C254" s="116" t="s">
        <v>396</v>
      </c>
      <c r="D254" s="116"/>
      <c r="E254" s="117" t="s">
        <v>397</v>
      </c>
      <c r="F254" s="118"/>
      <c r="G254" s="75">
        <v>2012</v>
      </c>
      <c r="H254" s="79">
        <v>8800</v>
      </c>
      <c r="I254" s="103" t="s">
        <v>398</v>
      </c>
      <c r="J254" s="103"/>
      <c r="K254" s="1"/>
    </row>
    <row r="255" spans="1:11" ht="29.25" customHeight="1" thickBot="1" x14ac:dyDescent="0.3">
      <c r="A255" s="1"/>
      <c r="B255" s="77" t="s">
        <v>516</v>
      </c>
      <c r="C255" s="116" t="s">
        <v>517</v>
      </c>
      <c r="D255" s="116"/>
      <c r="E255" s="99" t="s">
        <v>518</v>
      </c>
      <c r="F255" s="100"/>
      <c r="G255" s="78">
        <v>2020</v>
      </c>
      <c r="H255" s="79">
        <v>1314264.1599999999</v>
      </c>
      <c r="I255" s="103" t="s">
        <v>410</v>
      </c>
      <c r="J255" s="103"/>
      <c r="K255" s="1"/>
    </row>
    <row r="256" spans="1:11" ht="24" customHeight="1" thickBot="1" x14ac:dyDescent="0.3">
      <c r="A256" s="1"/>
      <c r="B256" s="77" t="s">
        <v>524</v>
      </c>
      <c r="C256" s="102"/>
      <c r="D256" s="102"/>
      <c r="E256" s="99" t="s">
        <v>525</v>
      </c>
      <c r="F256" s="100"/>
      <c r="G256" s="78">
        <v>2019</v>
      </c>
      <c r="H256" s="79">
        <v>2381500</v>
      </c>
      <c r="I256" s="103" t="s">
        <v>410</v>
      </c>
      <c r="J256" s="103"/>
      <c r="K256" s="1"/>
    </row>
    <row r="257" spans="1:11" ht="24" customHeight="1" thickBot="1" x14ac:dyDescent="0.3">
      <c r="A257" s="1"/>
      <c r="B257" s="77" t="s">
        <v>580</v>
      </c>
      <c r="C257" s="116" t="s">
        <v>517</v>
      </c>
      <c r="D257" s="116"/>
      <c r="E257" s="99" t="s">
        <v>475</v>
      </c>
      <c r="F257" s="100"/>
      <c r="G257" s="78" t="s">
        <v>417</v>
      </c>
      <c r="H257" s="79">
        <v>103000</v>
      </c>
      <c r="I257" s="103" t="s">
        <v>410</v>
      </c>
      <c r="J257" s="103"/>
      <c r="K257" s="1"/>
    </row>
    <row r="258" spans="1:11" ht="24" customHeight="1" thickBot="1" x14ac:dyDescent="0.3">
      <c r="A258" s="1"/>
      <c r="B258" s="77"/>
      <c r="C258" s="102"/>
      <c r="D258" s="102"/>
      <c r="E258" s="99"/>
      <c r="F258" s="100"/>
      <c r="G258" s="78"/>
      <c r="H258" s="79"/>
      <c r="I258" s="103"/>
      <c r="J258" s="103"/>
      <c r="K258" s="1"/>
    </row>
    <row r="259" spans="1:11" ht="24" customHeight="1" thickBot="1" x14ac:dyDescent="0.3">
      <c r="A259" s="1"/>
      <c r="B259" s="77"/>
      <c r="C259" s="102"/>
      <c r="D259" s="102"/>
      <c r="E259" s="99"/>
      <c r="F259" s="100"/>
      <c r="G259" s="78"/>
      <c r="H259" s="79"/>
      <c r="I259" s="103"/>
      <c r="J259" s="103"/>
      <c r="K259" s="1"/>
    </row>
    <row r="260" spans="1:11" ht="24" customHeight="1" thickBot="1" x14ac:dyDescent="0.3">
      <c r="A260" s="1"/>
      <c r="B260" s="77"/>
      <c r="C260" s="102"/>
      <c r="D260" s="102"/>
      <c r="E260" s="99"/>
      <c r="F260" s="100"/>
      <c r="G260" s="78"/>
      <c r="H260" s="79"/>
      <c r="I260" s="103"/>
      <c r="J260" s="103"/>
      <c r="K260" s="1"/>
    </row>
    <row r="261" spans="1:11" ht="24" customHeight="1" thickBot="1" x14ac:dyDescent="0.3">
      <c r="A261" s="1"/>
      <c r="B261" s="77"/>
      <c r="C261" s="102"/>
      <c r="D261" s="102"/>
      <c r="E261" s="99"/>
      <c r="F261" s="100"/>
      <c r="G261" s="78"/>
      <c r="H261" s="79"/>
      <c r="I261" s="104"/>
      <c r="J261" s="104"/>
      <c r="K261" s="1"/>
    </row>
    <row r="262" spans="1:11" ht="24" customHeight="1" thickBot="1" x14ac:dyDescent="0.3">
      <c r="A262" s="1"/>
      <c r="B262" s="77"/>
      <c r="C262" s="102"/>
      <c r="D262" s="102"/>
      <c r="E262" s="99"/>
      <c r="F262" s="100"/>
      <c r="G262" s="78"/>
      <c r="H262" s="79"/>
      <c r="I262" s="104"/>
      <c r="J262" s="104"/>
      <c r="K262" s="1"/>
    </row>
    <row r="263" spans="1:11" ht="24" customHeight="1" thickBot="1" x14ac:dyDescent="0.3">
      <c r="A263" s="1"/>
      <c r="B263" s="77"/>
      <c r="C263" s="102"/>
      <c r="D263" s="102"/>
      <c r="E263" s="99"/>
      <c r="F263" s="100"/>
      <c r="G263" s="78"/>
      <c r="H263" s="79"/>
      <c r="I263" s="104"/>
      <c r="J263" s="104"/>
      <c r="K263" s="1"/>
    </row>
    <row r="264" spans="1:11" ht="24" customHeight="1" thickBot="1" x14ac:dyDescent="0.3">
      <c r="A264" s="1"/>
      <c r="B264" s="77"/>
      <c r="C264" s="102"/>
      <c r="D264" s="102"/>
      <c r="E264" s="99"/>
      <c r="F264" s="100"/>
      <c r="G264" s="78"/>
      <c r="H264" s="79"/>
      <c r="I264" s="103"/>
      <c r="J264" s="103"/>
      <c r="K264" s="1"/>
    </row>
    <row r="265" spans="1:11" ht="24" customHeight="1" thickBot="1" x14ac:dyDescent="0.3">
      <c r="A265" s="1"/>
      <c r="B265" s="80"/>
      <c r="C265" s="123"/>
      <c r="D265" s="124"/>
      <c r="E265" s="125"/>
      <c r="F265" s="126"/>
      <c r="G265" s="81"/>
      <c r="H265" s="82"/>
      <c r="I265" s="127"/>
      <c r="J265" s="104"/>
      <c r="K265" s="1"/>
    </row>
    <row r="266" spans="1:11" ht="24" customHeight="1" thickBot="1" x14ac:dyDescent="0.3">
      <c r="A266" s="1"/>
      <c r="B266" s="80"/>
      <c r="C266" s="123"/>
      <c r="D266" s="124"/>
      <c r="E266" s="125"/>
      <c r="F266" s="126"/>
      <c r="G266" s="81"/>
      <c r="H266" s="82"/>
      <c r="I266" s="127"/>
      <c r="J266" s="104"/>
      <c r="K266" s="1"/>
    </row>
    <row r="267" spans="1:11" ht="24" customHeight="1" thickBot="1" x14ac:dyDescent="0.3">
      <c r="A267" s="1"/>
      <c r="B267" s="77"/>
      <c r="C267" s="102"/>
      <c r="D267" s="102"/>
      <c r="E267" s="99"/>
      <c r="F267" s="100"/>
      <c r="G267" s="81"/>
      <c r="H267" s="82"/>
      <c r="I267" s="127"/>
      <c r="J267" s="104"/>
      <c r="K267" s="1"/>
    </row>
    <row r="268" spans="1:11" ht="15" customHeight="1" x14ac:dyDescent="0.25">
      <c r="A268" s="1"/>
      <c r="B268" s="80"/>
      <c r="C268" s="85"/>
      <c r="D268" s="85"/>
      <c r="E268" s="86"/>
      <c r="F268" s="87"/>
      <c r="G268" s="81"/>
      <c r="H268" s="82"/>
      <c r="I268" s="88"/>
      <c r="J268" s="88"/>
      <c r="K268" s="1"/>
    </row>
    <row r="269" spans="1:11" ht="12" customHeight="1" x14ac:dyDescent="0.25">
      <c r="A269" s="1"/>
      <c r="B269" s="83"/>
      <c r="C269" s="1"/>
      <c r="D269" s="1"/>
      <c r="E269" s="1"/>
      <c r="F269" s="1"/>
      <c r="G269" s="1"/>
      <c r="H269" s="1"/>
      <c r="I269" s="1"/>
      <c r="J269" s="1"/>
      <c r="K269" s="1"/>
    </row>
    <row r="270" spans="1:11" x14ac:dyDescent="0.25">
      <c r="A270" s="1"/>
      <c r="B270" s="69"/>
      <c r="C270" s="26"/>
      <c r="D270" s="26"/>
      <c r="E270" s="26"/>
      <c r="F270" s="26"/>
      <c r="G270" s="26"/>
      <c r="H270" s="26"/>
      <c r="I270" s="26"/>
      <c r="J270" s="26"/>
      <c r="K270" s="1"/>
    </row>
    <row r="271" spans="1:11" ht="17.25" customHeight="1" x14ac:dyDescent="0.25">
      <c r="A271" s="1"/>
      <c r="B271" s="119" t="s">
        <v>399</v>
      </c>
      <c r="C271" s="119"/>
      <c r="D271" s="119"/>
      <c r="E271" s="119"/>
      <c r="F271" s="119"/>
      <c r="G271" s="119"/>
      <c r="H271" s="119"/>
      <c r="I271" s="119"/>
      <c r="J271" s="119"/>
      <c r="K271" s="1"/>
    </row>
    <row r="272" spans="1:11" ht="29.25" customHeight="1" x14ac:dyDescent="0.25">
      <c r="A272" s="1"/>
      <c r="B272" s="70"/>
      <c r="C272" s="26"/>
      <c r="D272" s="26"/>
      <c r="E272" s="26"/>
      <c r="F272" s="26"/>
      <c r="G272" s="26"/>
      <c r="H272" s="26"/>
      <c r="I272" s="26"/>
      <c r="J272" s="26"/>
      <c r="K272" s="1"/>
    </row>
    <row r="273" spans="1:11" ht="24" customHeight="1" thickBot="1" x14ac:dyDescent="0.25">
      <c r="A273" s="1"/>
      <c r="B273" s="71" t="s">
        <v>350</v>
      </c>
      <c r="C273" s="71" t="s">
        <v>351</v>
      </c>
      <c r="D273" s="72"/>
      <c r="E273" s="120" t="s">
        <v>352</v>
      </c>
      <c r="F273" s="120"/>
      <c r="G273" s="72" t="s">
        <v>353</v>
      </c>
      <c r="H273" s="73" t="s">
        <v>354</v>
      </c>
      <c r="I273" s="120" t="s">
        <v>355</v>
      </c>
      <c r="J273" s="120"/>
      <c r="K273" s="1"/>
    </row>
    <row r="274" spans="1:11" ht="24" customHeight="1" thickBot="1" x14ac:dyDescent="0.3">
      <c r="A274" s="1"/>
      <c r="B274" s="77" t="s">
        <v>526</v>
      </c>
      <c r="C274" s="116" t="s">
        <v>527</v>
      </c>
      <c r="D274" s="116"/>
      <c r="E274" s="117" t="s">
        <v>528</v>
      </c>
      <c r="F274" s="118"/>
      <c r="G274" s="75">
        <v>2019</v>
      </c>
      <c r="H274" s="79">
        <v>4190000</v>
      </c>
      <c r="I274" s="121" t="s">
        <v>410</v>
      </c>
      <c r="J274" s="122"/>
      <c r="K274" s="1"/>
    </row>
    <row r="275" spans="1:11" ht="24" customHeight="1" thickBot="1" x14ac:dyDescent="0.3">
      <c r="A275" s="1"/>
      <c r="B275" s="77" t="s">
        <v>529</v>
      </c>
      <c r="C275" s="116" t="s">
        <v>527</v>
      </c>
      <c r="D275" s="116"/>
      <c r="E275" s="99" t="s">
        <v>530</v>
      </c>
      <c r="F275" s="100"/>
      <c r="G275" s="78">
        <v>2019</v>
      </c>
      <c r="H275" s="79">
        <v>205129</v>
      </c>
      <c r="I275" s="121" t="s">
        <v>410</v>
      </c>
      <c r="J275" s="122"/>
      <c r="K275" s="1"/>
    </row>
    <row r="276" spans="1:11" ht="24" customHeight="1" thickBot="1" x14ac:dyDescent="0.3">
      <c r="A276" s="1"/>
      <c r="B276" s="77" t="s">
        <v>531</v>
      </c>
      <c r="C276" s="102" t="s">
        <v>532</v>
      </c>
      <c r="D276" s="102"/>
      <c r="E276" s="99" t="s">
        <v>533</v>
      </c>
      <c r="F276" s="100"/>
      <c r="G276" s="75">
        <v>2018</v>
      </c>
      <c r="H276" s="79">
        <v>3743000</v>
      </c>
      <c r="I276" s="121" t="s">
        <v>534</v>
      </c>
      <c r="J276" s="122"/>
      <c r="K276" s="1"/>
    </row>
    <row r="277" spans="1:11" ht="24" customHeight="1" thickBot="1" x14ac:dyDescent="0.3">
      <c r="A277" s="1"/>
      <c r="B277" s="77" t="s">
        <v>565</v>
      </c>
      <c r="C277" s="102" t="s">
        <v>566</v>
      </c>
      <c r="D277" s="102"/>
      <c r="E277" s="99" t="s">
        <v>567</v>
      </c>
      <c r="F277" s="100"/>
      <c r="G277" s="78" t="s">
        <v>417</v>
      </c>
      <c r="H277" s="79">
        <v>2200000</v>
      </c>
      <c r="I277" s="121" t="s">
        <v>410</v>
      </c>
      <c r="J277" s="122"/>
      <c r="K277" s="1"/>
    </row>
    <row r="278" spans="1:11" ht="24" customHeight="1" thickBot="1" x14ac:dyDescent="0.3">
      <c r="A278" s="1"/>
      <c r="B278" s="77" t="s">
        <v>568</v>
      </c>
      <c r="C278" s="102" t="s">
        <v>569</v>
      </c>
      <c r="D278" s="102"/>
      <c r="E278" s="99" t="s">
        <v>542</v>
      </c>
      <c r="F278" s="100"/>
      <c r="G278" s="78" t="s">
        <v>413</v>
      </c>
      <c r="H278" s="79">
        <v>3000000</v>
      </c>
      <c r="I278" s="121" t="s">
        <v>410</v>
      </c>
      <c r="J278" s="122"/>
      <c r="K278" s="1"/>
    </row>
    <row r="279" spans="1:11" ht="24" customHeight="1" thickBot="1" x14ac:dyDescent="0.3">
      <c r="A279" s="1"/>
      <c r="B279" s="5"/>
      <c r="G279" s="78"/>
      <c r="H279" s="79"/>
      <c r="I279" s="104"/>
      <c r="J279" s="104"/>
      <c r="K279" s="1"/>
    </row>
    <row r="280" spans="1:11" ht="24" customHeight="1" thickBot="1" x14ac:dyDescent="0.3">
      <c r="A280" s="1"/>
      <c r="B280" s="77" t="s">
        <v>586</v>
      </c>
      <c r="C280" s="102" t="s">
        <v>520</v>
      </c>
      <c r="D280" s="102"/>
      <c r="E280" s="99" t="s">
        <v>475</v>
      </c>
      <c r="F280" s="100"/>
      <c r="G280" s="78">
        <v>2017</v>
      </c>
      <c r="H280" s="79">
        <v>9816000</v>
      </c>
      <c r="I280" s="104" t="s">
        <v>587</v>
      </c>
      <c r="J280" s="104"/>
      <c r="K280" s="1"/>
    </row>
    <row r="281" spans="1:11" ht="24" customHeight="1" thickBot="1" x14ac:dyDescent="0.3">
      <c r="A281" s="1"/>
      <c r="B281" s="77"/>
      <c r="C281" s="102"/>
      <c r="D281" s="102"/>
      <c r="E281" s="99"/>
      <c r="F281" s="100"/>
      <c r="G281" s="78"/>
      <c r="H281" s="79"/>
      <c r="I281" s="104"/>
      <c r="J281" s="104"/>
      <c r="K281" s="1"/>
    </row>
    <row r="282" spans="1:11" ht="24" customHeight="1" thickBot="1" x14ac:dyDescent="0.3">
      <c r="A282" s="1"/>
      <c r="B282" s="77"/>
      <c r="C282" s="102"/>
      <c r="D282" s="102"/>
      <c r="E282" s="99"/>
      <c r="F282" s="100"/>
      <c r="G282" s="78"/>
      <c r="H282" s="79"/>
      <c r="I282" s="104"/>
      <c r="J282" s="104"/>
      <c r="K282" s="1"/>
    </row>
    <row r="283" spans="1:11" ht="24" customHeight="1" thickBot="1" x14ac:dyDescent="0.3">
      <c r="A283" s="1"/>
      <c r="B283" s="77"/>
      <c r="C283" s="102"/>
      <c r="D283" s="102"/>
      <c r="E283" s="99"/>
      <c r="F283" s="100"/>
      <c r="G283" s="78"/>
      <c r="H283" s="79"/>
      <c r="I283" s="104"/>
      <c r="J283" s="104"/>
      <c r="K283" s="1"/>
    </row>
    <row r="284" spans="1:11" ht="24" customHeight="1" thickBot="1" x14ac:dyDescent="0.3">
      <c r="A284" s="1"/>
      <c r="B284" s="77"/>
      <c r="C284" s="102"/>
      <c r="D284" s="102"/>
      <c r="E284" s="99"/>
      <c r="F284" s="100"/>
      <c r="G284" s="78"/>
      <c r="H284" s="79"/>
      <c r="I284" s="104"/>
      <c r="J284" s="104"/>
      <c r="K284" s="1"/>
    </row>
    <row r="285" spans="1:11" ht="4.5" customHeight="1" x14ac:dyDescent="0.25">
      <c r="A285" s="1"/>
      <c r="B285" s="80"/>
      <c r="C285" s="98"/>
      <c r="D285" s="98"/>
      <c r="E285" s="114"/>
      <c r="F285" s="115"/>
      <c r="G285" s="81"/>
      <c r="H285" s="82"/>
      <c r="I285" s="101"/>
      <c r="J285" s="101"/>
      <c r="K285" s="1"/>
    </row>
    <row r="286" spans="1:11" ht="21" customHeight="1" x14ac:dyDescent="0.25">
      <c r="A286" s="1"/>
      <c r="B286" s="83"/>
      <c r="C286" s="1"/>
      <c r="D286" s="1"/>
      <c r="E286" s="1"/>
      <c r="F286" s="1"/>
      <c r="G286" s="1"/>
      <c r="H286" s="1"/>
      <c r="I286" s="1"/>
      <c r="J286" s="1"/>
      <c r="K286" s="1"/>
    </row>
    <row r="287" spans="1:11" x14ac:dyDescent="0.25">
      <c r="A287" s="1"/>
      <c r="B287" s="69"/>
      <c r="C287" s="26"/>
      <c r="D287" s="26"/>
      <c r="E287" s="26"/>
      <c r="F287" s="26"/>
      <c r="G287" s="26"/>
      <c r="H287" s="26"/>
      <c r="I287" s="26"/>
      <c r="J287" s="26"/>
      <c r="K287" s="1"/>
    </row>
    <row r="288" spans="1:11" ht="16.5" customHeight="1" x14ac:dyDescent="0.25">
      <c r="A288" s="1"/>
      <c r="B288" s="119" t="s">
        <v>400</v>
      </c>
      <c r="C288" s="119"/>
      <c r="D288" s="119"/>
      <c r="E288" s="119"/>
      <c r="F288" s="119"/>
      <c r="G288" s="119"/>
      <c r="H288" s="119"/>
      <c r="I288" s="119"/>
      <c r="J288" s="119"/>
      <c r="K288" s="1"/>
    </row>
    <row r="289" spans="1:11" ht="29.25" customHeight="1" x14ac:dyDescent="0.25">
      <c r="A289" s="1"/>
      <c r="B289" s="70"/>
      <c r="C289" s="26"/>
      <c r="D289" s="26"/>
      <c r="E289" s="26"/>
      <c r="F289" s="26"/>
      <c r="G289" s="26"/>
      <c r="H289" s="26"/>
      <c r="I289" s="26"/>
      <c r="J289" s="26"/>
      <c r="K289" s="1"/>
    </row>
    <row r="290" spans="1:11" ht="24" customHeight="1" thickBot="1" x14ac:dyDescent="0.25">
      <c r="A290" s="1"/>
      <c r="B290" s="71" t="s">
        <v>350</v>
      </c>
      <c r="C290" s="71" t="s">
        <v>351</v>
      </c>
      <c r="D290" s="72"/>
      <c r="E290" s="120" t="s">
        <v>352</v>
      </c>
      <c r="F290" s="120"/>
      <c r="G290" s="72" t="s">
        <v>353</v>
      </c>
      <c r="H290" s="73" t="s">
        <v>354</v>
      </c>
      <c r="I290" s="120" t="s">
        <v>355</v>
      </c>
      <c r="J290" s="120"/>
      <c r="K290" s="1"/>
    </row>
    <row r="291" spans="1:11" ht="24" customHeight="1" thickBot="1" x14ac:dyDescent="0.3">
      <c r="A291" s="1"/>
      <c r="B291" s="77" t="s">
        <v>449</v>
      </c>
      <c r="C291" s="116" t="s">
        <v>450</v>
      </c>
      <c r="D291" s="116"/>
      <c r="E291" s="117" t="s">
        <v>412</v>
      </c>
      <c r="F291" s="118"/>
      <c r="G291" s="75" t="s">
        <v>417</v>
      </c>
      <c r="H291" s="79">
        <v>750000</v>
      </c>
      <c r="I291" s="103" t="s">
        <v>451</v>
      </c>
      <c r="J291" s="103"/>
      <c r="K291" s="1"/>
    </row>
    <row r="292" spans="1:11" ht="24" customHeight="1" thickBot="1" x14ac:dyDescent="0.3">
      <c r="A292" s="1"/>
      <c r="B292" s="77" t="s">
        <v>544</v>
      </c>
      <c r="C292" s="102" t="s">
        <v>543</v>
      </c>
      <c r="D292" s="102"/>
      <c r="E292" s="99" t="s">
        <v>475</v>
      </c>
      <c r="F292" s="100"/>
      <c r="G292" s="78" t="s">
        <v>417</v>
      </c>
      <c r="H292" s="79">
        <v>990500</v>
      </c>
      <c r="I292" s="103" t="s">
        <v>451</v>
      </c>
      <c r="J292" s="103"/>
      <c r="K292" s="1"/>
    </row>
    <row r="293" spans="1:11" ht="24" customHeight="1" thickBot="1" x14ac:dyDescent="0.3">
      <c r="A293" s="1"/>
      <c r="B293" s="77" t="s">
        <v>550</v>
      </c>
      <c r="C293" s="102" t="s">
        <v>551</v>
      </c>
      <c r="D293" s="102"/>
      <c r="E293" s="99" t="s">
        <v>552</v>
      </c>
      <c r="F293" s="100"/>
      <c r="G293" s="78" t="s">
        <v>417</v>
      </c>
      <c r="H293" s="79">
        <v>1120000</v>
      </c>
      <c r="I293" s="103" t="s">
        <v>451</v>
      </c>
      <c r="J293" s="103"/>
      <c r="K293" s="1"/>
    </row>
    <row r="294" spans="1:11" ht="24" customHeight="1" thickBot="1" x14ac:dyDescent="0.3">
      <c r="A294" s="1"/>
      <c r="B294" s="77" t="s">
        <v>558</v>
      </c>
      <c r="C294" s="102" t="s">
        <v>559</v>
      </c>
      <c r="D294" s="102"/>
      <c r="E294" s="99" t="s">
        <v>560</v>
      </c>
      <c r="F294" s="100"/>
      <c r="G294" s="78" t="s">
        <v>413</v>
      </c>
      <c r="H294" s="79">
        <v>63600</v>
      </c>
      <c r="I294" s="103" t="s">
        <v>451</v>
      </c>
      <c r="J294" s="103"/>
      <c r="K294" s="1"/>
    </row>
    <row r="295" spans="1:11" ht="24" customHeight="1" thickBot="1" x14ac:dyDescent="0.3">
      <c r="A295" s="1"/>
      <c r="B295" s="77" t="s">
        <v>571</v>
      </c>
      <c r="C295" s="102" t="s">
        <v>572</v>
      </c>
      <c r="D295" s="102"/>
      <c r="E295" s="99" t="s">
        <v>573</v>
      </c>
      <c r="F295" s="100"/>
      <c r="G295" s="78">
        <v>2017</v>
      </c>
      <c r="H295" s="79">
        <v>488000</v>
      </c>
      <c r="I295" s="103" t="s">
        <v>451</v>
      </c>
      <c r="J295" s="103"/>
      <c r="K295" s="1"/>
    </row>
    <row r="296" spans="1:11" ht="24" customHeight="1" thickBot="1" x14ac:dyDescent="0.3">
      <c r="A296" s="1"/>
      <c r="B296" s="77" t="s">
        <v>577</v>
      </c>
      <c r="C296" s="102" t="s">
        <v>578</v>
      </c>
      <c r="D296" s="102"/>
      <c r="E296" s="99" t="s">
        <v>579</v>
      </c>
      <c r="F296" s="100"/>
      <c r="G296" s="78" t="s">
        <v>413</v>
      </c>
      <c r="H296" s="79">
        <v>2281000</v>
      </c>
      <c r="I296" s="103" t="s">
        <v>451</v>
      </c>
      <c r="J296" s="103"/>
      <c r="K296" s="1"/>
    </row>
    <row r="297" spans="1:11" ht="24" customHeight="1" thickBot="1" x14ac:dyDescent="0.3">
      <c r="A297" s="1"/>
      <c r="B297" s="77" t="s">
        <v>583</v>
      </c>
      <c r="C297" s="102" t="s">
        <v>584</v>
      </c>
      <c r="D297" s="102"/>
      <c r="E297" s="99" t="s">
        <v>585</v>
      </c>
      <c r="F297" s="100"/>
      <c r="G297" s="78">
        <v>2017</v>
      </c>
      <c r="H297" s="79">
        <v>5415000</v>
      </c>
      <c r="I297" s="103" t="s">
        <v>451</v>
      </c>
      <c r="J297" s="103"/>
      <c r="K297" s="1"/>
    </row>
    <row r="298" spans="1:11" ht="24" customHeight="1" thickBot="1" x14ac:dyDescent="0.3">
      <c r="A298" s="1"/>
      <c r="B298" s="77"/>
      <c r="C298" s="102"/>
      <c r="D298" s="102"/>
      <c r="E298" s="99"/>
      <c r="F298" s="100"/>
      <c r="G298" s="78"/>
      <c r="H298" s="79"/>
      <c r="I298" s="104"/>
      <c r="J298" s="104"/>
      <c r="K298" s="1"/>
    </row>
    <row r="299" spans="1:11" ht="24" customHeight="1" thickBot="1" x14ac:dyDescent="0.3">
      <c r="A299" s="1"/>
      <c r="B299" s="77"/>
      <c r="C299" s="102"/>
      <c r="D299" s="102"/>
      <c r="E299" s="99"/>
      <c r="F299" s="100"/>
      <c r="G299" s="78"/>
      <c r="H299" s="79"/>
      <c r="I299" s="104"/>
      <c r="J299" s="104"/>
      <c r="K299" s="1"/>
    </row>
    <row r="300" spans="1:11" ht="24" customHeight="1" thickBot="1" x14ac:dyDescent="0.3">
      <c r="A300" s="1"/>
      <c r="B300" s="77"/>
      <c r="C300" s="102"/>
      <c r="D300" s="102"/>
      <c r="E300" s="99"/>
      <c r="F300" s="100"/>
      <c r="G300" s="78"/>
      <c r="H300" s="79"/>
      <c r="I300" s="104"/>
      <c r="J300" s="104"/>
      <c r="K300" s="1"/>
    </row>
    <row r="301" spans="1:11" ht="24" customHeight="1" x14ac:dyDescent="0.25">
      <c r="A301" s="1"/>
      <c r="B301" s="80"/>
      <c r="C301" s="98"/>
      <c r="D301" s="98"/>
      <c r="E301" s="114"/>
      <c r="F301" s="115"/>
      <c r="G301" s="81"/>
      <c r="H301" s="82"/>
      <c r="I301" s="101"/>
      <c r="J301" s="101"/>
      <c r="K301" s="1"/>
    </row>
    <row r="302" spans="1:11" ht="23.25" customHeight="1" x14ac:dyDescent="0.25">
      <c r="A302" s="1"/>
      <c r="B302" s="83"/>
      <c r="C302" s="1"/>
      <c r="D302" s="1"/>
      <c r="E302" s="1"/>
      <c r="F302" s="1"/>
      <c r="G302" s="1"/>
      <c r="H302" s="1"/>
      <c r="I302" s="1"/>
      <c r="J302" s="1"/>
      <c r="K302" s="1"/>
    </row>
    <row r="303" spans="1:11" ht="21" customHeight="1" x14ac:dyDescent="0.25">
      <c r="A303" s="1"/>
      <c r="B303" s="69"/>
      <c r="C303" s="26"/>
      <c r="D303" s="26"/>
      <c r="E303" s="26"/>
      <c r="F303" s="26"/>
      <c r="G303" s="26"/>
      <c r="H303" s="26"/>
      <c r="I303" s="26"/>
      <c r="J303" s="26"/>
      <c r="K303" s="1"/>
    </row>
    <row r="304" spans="1:11" ht="15.75" x14ac:dyDescent="0.25">
      <c r="A304" s="1"/>
      <c r="B304" s="119" t="s">
        <v>401</v>
      </c>
      <c r="C304" s="119"/>
      <c r="D304" s="119"/>
      <c r="E304" s="119"/>
      <c r="F304" s="119"/>
      <c r="G304" s="119"/>
      <c r="H304" s="119"/>
      <c r="I304" s="119"/>
      <c r="J304" s="119"/>
      <c r="K304" s="1"/>
    </row>
    <row r="305" spans="1:11" ht="3.75" customHeight="1" x14ac:dyDescent="0.25">
      <c r="A305" s="1"/>
      <c r="B305" s="70"/>
      <c r="C305" s="26"/>
      <c r="D305" s="26"/>
      <c r="E305" s="26"/>
      <c r="F305" s="26"/>
      <c r="G305" s="26"/>
      <c r="H305" s="26"/>
      <c r="I305" s="26"/>
      <c r="J305" s="26"/>
      <c r="K305" s="1"/>
    </row>
    <row r="306" spans="1:11" ht="29.25" customHeight="1" thickBot="1" x14ac:dyDescent="0.25">
      <c r="A306" s="1"/>
      <c r="B306" s="71" t="s">
        <v>350</v>
      </c>
      <c r="C306" s="71" t="s">
        <v>351</v>
      </c>
      <c r="D306" s="72"/>
      <c r="E306" s="120" t="s">
        <v>352</v>
      </c>
      <c r="F306" s="120"/>
      <c r="G306" s="72" t="s">
        <v>353</v>
      </c>
      <c r="H306" s="73" t="s">
        <v>354</v>
      </c>
      <c r="I306" s="120" t="s">
        <v>355</v>
      </c>
      <c r="J306" s="120"/>
      <c r="K306" s="1"/>
    </row>
    <row r="307" spans="1:11" ht="24" customHeight="1" thickBot="1" x14ac:dyDescent="0.3">
      <c r="A307" s="1"/>
      <c r="B307" s="77" t="s">
        <v>425</v>
      </c>
      <c r="C307" s="116" t="s">
        <v>426</v>
      </c>
      <c r="D307" s="116"/>
      <c r="E307" s="117" t="s">
        <v>427</v>
      </c>
      <c r="F307" s="118"/>
      <c r="G307" s="75" t="s">
        <v>413</v>
      </c>
      <c r="H307" s="79">
        <v>615000</v>
      </c>
      <c r="I307" s="103" t="s">
        <v>410</v>
      </c>
      <c r="J307" s="103"/>
      <c r="K307" s="1"/>
    </row>
    <row r="308" spans="1:11" ht="24" customHeight="1" thickBot="1" x14ac:dyDescent="0.3">
      <c r="A308" s="1"/>
      <c r="B308" s="77" t="s">
        <v>428</v>
      </c>
      <c r="C308" s="102" t="s">
        <v>429</v>
      </c>
      <c r="D308" s="102"/>
      <c r="E308" s="99" t="s">
        <v>430</v>
      </c>
      <c r="F308" s="100"/>
      <c r="G308" s="75" t="s">
        <v>413</v>
      </c>
      <c r="H308" s="79">
        <v>445000</v>
      </c>
      <c r="I308" s="103" t="s">
        <v>410</v>
      </c>
      <c r="J308" s="103"/>
      <c r="K308" s="1"/>
    </row>
    <row r="309" spans="1:11" ht="24" customHeight="1" thickBot="1" x14ac:dyDescent="0.3">
      <c r="A309" s="1"/>
      <c r="B309" s="77" t="s">
        <v>431</v>
      </c>
      <c r="C309" s="102" t="s">
        <v>432</v>
      </c>
      <c r="D309" s="102"/>
      <c r="E309" s="99" t="s">
        <v>433</v>
      </c>
      <c r="F309" s="100"/>
      <c r="G309" s="78" t="s">
        <v>434</v>
      </c>
      <c r="H309" s="79">
        <v>563000</v>
      </c>
      <c r="I309" s="103" t="s">
        <v>410</v>
      </c>
      <c r="J309" s="103"/>
      <c r="K309" s="1"/>
    </row>
    <row r="310" spans="1:11" ht="24" customHeight="1" thickBot="1" x14ac:dyDescent="0.3">
      <c r="A310" s="1"/>
      <c r="B310" s="77" t="s">
        <v>541</v>
      </c>
      <c r="C310" s="102" t="s">
        <v>452</v>
      </c>
      <c r="D310" s="102"/>
      <c r="E310" s="99" t="s">
        <v>542</v>
      </c>
      <c r="F310" s="100"/>
      <c r="G310" s="78" t="s">
        <v>409</v>
      </c>
      <c r="H310" s="79"/>
      <c r="I310" s="103" t="s">
        <v>410</v>
      </c>
      <c r="J310" s="103"/>
      <c r="K310" s="1"/>
    </row>
    <row r="311" spans="1:11" ht="24" customHeight="1" thickBot="1" x14ac:dyDescent="0.3">
      <c r="A311" s="1"/>
      <c r="B311" s="77" t="s">
        <v>548</v>
      </c>
      <c r="C311" s="102" t="s">
        <v>549</v>
      </c>
      <c r="D311" s="102"/>
      <c r="E311" s="99" t="s">
        <v>542</v>
      </c>
      <c r="F311" s="100"/>
      <c r="G311" s="78">
        <v>2018</v>
      </c>
      <c r="H311" s="79">
        <v>185000</v>
      </c>
      <c r="I311" s="103" t="s">
        <v>410</v>
      </c>
      <c r="J311" s="103"/>
      <c r="K311" s="1"/>
    </row>
    <row r="312" spans="1:11" ht="24" customHeight="1" thickBot="1" x14ac:dyDescent="0.3">
      <c r="A312" s="1"/>
      <c r="B312" s="77" t="s">
        <v>561</v>
      </c>
      <c r="C312" s="102" t="s">
        <v>562</v>
      </c>
      <c r="D312" s="102"/>
      <c r="E312" s="99" t="s">
        <v>563</v>
      </c>
      <c r="F312" s="100"/>
      <c r="G312" s="78" t="s">
        <v>564</v>
      </c>
      <c r="H312" s="79">
        <v>2595000</v>
      </c>
      <c r="I312" s="103" t="s">
        <v>410</v>
      </c>
      <c r="J312" s="103"/>
      <c r="K312" s="1"/>
    </row>
    <row r="313" spans="1:11" ht="24" customHeight="1" thickBot="1" x14ac:dyDescent="0.3">
      <c r="A313" s="1"/>
      <c r="B313" s="77"/>
      <c r="C313" s="102"/>
      <c r="D313" s="102"/>
      <c r="E313" s="99"/>
      <c r="F313" s="100"/>
      <c r="G313" s="78"/>
      <c r="H313" s="79"/>
      <c r="I313" s="104"/>
      <c r="J313" s="104"/>
      <c r="K313" s="1"/>
    </row>
    <row r="314" spans="1:11" ht="24" customHeight="1" thickBot="1" x14ac:dyDescent="0.3">
      <c r="A314" s="1"/>
      <c r="B314" s="77"/>
      <c r="C314" s="102"/>
      <c r="D314" s="102"/>
      <c r="E314" s="99"/>
      <c r="F314" s="100"/>
      <c r="G314" s="78"/>
      <c r="H314" s="79"/>
      <c r="I314" s="104"/>
      <c r="J314" s="104"/>
      <c r="K314" s="1"/>
    </row>
    <row r="315" spans="1:11" ht="24" customHeight="1" thickBot="1" x14ac:dyDescent="0.3">
      <c r="A315" s="1"/>
      <c r="B315" s="77"/>
      <c r="C315" s="102"/>
      <c r="D315" s="102"/>
      <c r="E315" s="99"/>
      <c r="F315" s="100"/>
      <c r="G315" s="78"/>
      <c r="H315" s="79"/>
      <c r="I315" s="104"/>
      <c r="J315" s="104"/>
      <c r="K315" s="1"/>
    </row>
    <row r="316" spans="1:11" ht="24" customHeight="1" thickBot="1" x14ac:dyDescent="0.3">
      <c r="A316" s="1"/>
      <c r="B316" s="77"/>
      <c r="C316" s="102"/>
      <c r="D316" s="102"/>
      <c r="E316" s="99"/>
      <c r="F316" s="100"/>
      <c r="G316" s="78"/>
      <c r="H316" s="79"/>
      <c r="I316" s="104"/>
      <c r="J316" s="104"/>
      <c r="K316" s="1"/>
    </row>
    <row r="317" spans="1:11" ht="24" customHeight="1" thickBot="1" x14ac:dyDescent="0.3">
      <c r="A317" s="1"/>
      <c r="B317" s="77"/>
      <c r="C317" s="102"/>
      <c r="D317" s="102"/>
      <c r="E317" s="99"/>
      <c r="F317" s="100"/>
      <c r="G317" s="78"/>
      <c r="H317" s="79"/>
      <c r="I317" s="104"/>
      <c r="J317" s="104"/>
      <c r="K317" s="1"/>
    </row>
    <row r="318" spans="1:11" ht="24" customHeight="1" thickBot="1" x14ac:dyDescent="0.3">
      <c r="A318" s="1"/>
      <c r="B318" s="80"/>
      <c r="C318" s="98"/>
      <c r="D318" s="98"/>
      <c r="E318" s="114"/>
      <c r="F318" s="115"/>
      <c r="G318" s="75"/>
      <c r="H318" s="76"/>
      <c r="I318" s="101"/>
      <c r="J318" s="101"/>
      <c r="K318" s="1"/>
    </row>
    <row r="319" spans="1:11" ht="34.5" customHeight="1" x14ac:dyDescent="0.25">
      <c r="A319" s="1"/>
      <c r="B319" s="83"/>
      <c r="C319" s="1"/>
      <c r="D319" s="1"/>
      <c r="E319" s="1"/>
      <c r="F319" s="1"/>
      <c r="G319" s="1"/>
      <c r="H319" s="1"/>
      <c r="I319" s="1"/>
      <c r="J319" s="1"/>
      <c r="K319" s="1"/>
    </row>
    <row r="320" spans="1:11" ht="12" customHeight="1" x14ac:dyDescent="0.25">
      <c r="A320" s="1"/>
      <c r="B320" s="69"/>
      <c r="C320" s="26"/>
      <c r="D320" s="26"/>
      <c r="E320" s="26"/>
      <c r="F320" s="26"/>
      <c r="G320" s="26"/>
      <c r="H320" s="26"/>
      <c r="I320" s="26"/>
      <c r="J320" s="26"/>
      <c r="K320" s="1"/>
    </row>
    <row r="321" spans="1:11" ht="15.75" x14ac:dyDescent="0.25">
      <c r="A321" s="1"/>
      <c r="B321" s="119" t="s">
        <v>402</v>
      </c>
      <c r="C321" s="119"/>
      <c r="D321" s="119"/>
      <c r="E321" s="119"/>
      <c r="F321" s="119"/>
      <c r="G321" s="119"/>
      <c r="H321" s="119"/>
      <c r="I321" s="119"/>
      <c r="J321" s="119"/>
      <c r="K321" s="1"/>
    </row>
    <row r="322" spans="1:11" ht="3.75" customHeight="1" x14ac:dyDescent="0.25">
      <c r="A322" s="1"/>
      <c r="B322" s="70"/>
      <c r="C322" s="26"/>
      <c r="D322" s="26"/>
      <c r="E322" s="26"/>
      <c r="F322" s="26"/>
      <c r="G322" s="26"/>
      <c r="H322" s="26"/>
      <c r="I322" s="26"/>
      <c r="J322" s="26"/>
      <c r="K322" s="1"/>
    </row>
    <row r="323" spans="1:11" ht="29.25" customHeight="1" x14ac:dyDescent="0.2">
      <c r="A323" s="1"/>
      <c r="B323" s="71" t="s">
        <v>350</v>
      </c>
      <c r="C323" s="71" t="s">
        <v>351</v>
      </c>
      <c r="D323" s="72"/>
      <c r="E323" s="120" t="s">
        <v>352</v>
      </c>
      <c r="F323" s="120"/>
      <c r="G323" s="72" t="s">
        <v>353</v>
      </c>
      <c r="H323" s="73" t="s">
        <v>354</v>
      </c>
      <c r="I323" s="120" t="s">
        <v>355</v>
      </c>
      <c r="J323" s="120"/>
      <c r="K323" s="1"/>
    </row>
    <row r="324" spans="1:11" ht="24" customHeight="1" thickBot="1" x14ac:dyDescent="0.3">
      <c r="A324" s="1"/>
      <c r="B324" s="74" t="s">
        <v>438</v>
      </c>
      <c r="C324" s="116" t="s">
        <v>439</v>
      </c>
      <c r="D324" s="116"/>
      <c r="E324" s="117" t="s">
        <v>440</v>
      </c>
      <c r="F324" s="118"/>
      <c r="G324" s="75" t="s">
        <v>417</v>
      </c>
      <c r="H324" s="76">
        <v>2525000</v>
      </c>
      <c r="I324" s="103" t="s">
        <v>410</v>
      </c>
      <c r="J324" s="103"/>
      <c r="K324" s="1"/>
    </row>
    <row r="325" spans="1:11" ht="24" customHeight="1" thickBot="1" x14ac:dyDescent="0.3">
      <c r="A325" s="1"/>
      <c r="B325" s="74" t="s">
        <v>441</v>
      </c>
      <c r="C325" s="102" t="s">
        <v>442</v>
      </c>
      <c r="D325" s="102"/>
      <c r="E325" s="99" t="s">
        <v>443</v>
      </c>
      <c r="F325" s="100"/>
      <c r="G325" s="78" t="s">
        <v>417</v>
      </c>
      <c r="H325" s="76">
        <v>6150000</v>
      </c>
      <c r="I325" s="103" t="s">
        <v>410</v>
      </c>
      <c r="J325" s="103"/>
      <c r="K325" s="1"/>
    </row>
    <row r="326" spans="1:11" ht="24" customHeight="1" thickBot="1" x14ac:dyDescent="0.3">
      <c r="A326" s="1"/>
      <c r="B326" s="74" t="s">
        <v>446</v>
      </c>
      <c r="C326" s="102" t="s">
        <v>439</v>
      </c>
      <c r="D326" s="102"/>
      <c r="E326" s="99" t="s">
        <v>444</v>
      </c>
      <c r="F326" s="100"/>
      <c r="G326" s="75" t="s">
        <v>417</v>
      </c>
      <c r="H326" s="76">
        <v>1225000</v>
      </c>
      <c r="I326" s="103" t="s">
        <v>410</v>
      </c>
      <c r="J326" s="103"/>
      <c r="K326" s="1"/>
    </row>
    <row r="327" spans="1:11" ht="24" customHeight="1" thickBot="1" x14ac:dyDescent="0.3">
      <c r="A327" s="1"/>
      <c r="B327" s="74" t="s">
        <v>447</v>
      </c>
      <c r="C327" s="102" t="s">
        <v>445</v>
      </c>
      <c r="D327" s="102"/>
      <c r="E327" s="99" t="s">
        <v>444</v>
      </c>
      <c r="F327" s="100"/>
      <c r="G327" s="78" t="s">
        <v>417</v>
      </c>
      <c r="H327" s="76">
        <v>1625000</v>
      </c>
      <c r="I327" s="103" t="s">
        <v>410</v>
      </c>
      <c r="J327" s="103"/>
      <c r="K327" s="1"/>
    </row>
    <row r="328" spans="1:11" ht="24" customHeight="1" thickBot="1" x14ac:dyDescent="0.3">
      <c r="A328" s="1"/>
      <c r="B328" s="74" t="s">
        <v>448</v>
      </c>
      <c r="C328" s="102" t="s">
        <v>456</v>
      </c>
      <c r="D328" s="102"/>
      <c r="E328" s="99" t="s">
        <v>453</v>
      </c>
      <c r="F328" s="100"/>
      <c r="G328" s="78" t="s">
        <v>417</v>
      </c>
      <c r="H328" s="76">
        <v>1350000</v>
      </c>
      <c r="I328" s="103" t="s">
        <v>410</v>
      </c>
      <c r="J328" s="103"/>
      <c r="K328" s="1"/>
    </row>
    <row r="329" spans="1:11" ht="24" customHeight="1" thickBot="1" x14ac:dyDescent="0.3">
      <c r="A329" s="1"/>
      <c r="B329" s="74" t="s">
        <v>454</v>
      </c>
      <c r="C329" s="102" t="s">
        <v>452</v>
      </c>
      <c r="D329" s="102"/>
      <c r="E329" s="99" t="s">
        <v>453</v>
      </c>
      <c r="F329" s="100"/>
      <c r="G329" s="78" t="s">
        <v>409</v>
      </c>
      <c r="H329" s="76">
        <v>7915000</v>
      </c>
      <c r="I329" s="103" t="s">
        <v>410</v>
      </c>
      <c r="J329" s="103"/>
      <c r="K329" s="1"/>
    </row>
    <row r="330" spans="1:11" ht="24" customHeight="1" thickBot="1" x14ac:dyDescent="0.3">
      <c r="A330" s="1"/>
      <c r="B330" s="74" t="s">
        <v>455</v>
      </c>
      <c r="C330" s="102" t="s">
        <v>452</v>
      </c>
      <c r="D330" s="102"/>
      <c r="E330" s="99" t="s">
        <v>453</v>
      </c>
      <c r="F330" s="100"/>
      <c r="G330" s="78" t="s">
        <v>409</v>
      </c>
      <c r="H330" s="76">
        <v>16500000</v>
      </c>
      <c r="I330" s="103" t="s">
        <v>410</v>
      </c>
      <c r="J330" s="103"/>
      <c r="K330" s="1"/>
    </row>
    <row r="331" spans="1:11" ht="24" customHeight="1" thickBot="1" x14ac:dyDescent="0.3">
      <c r="A331" s="1"/>
      <c r="B331" s="74" t="s">
        <v>457</v>
      </c>
      <c r="C331" s="102" t="s">
        <v>458</v>
      </c>
      <c r="D331" s="102"/>
      <c r="E331" s="99" t="s">
        <v>453</v>
      </c>
      <c r="F331" s="100"/>
      <c r="G331" s="78" t="s">
        <v>424</v>
      </c>
      <c r="H331" s="76">
        <v>49500000</v>
      </c>
      <c r="I331" s="103" t="s">
        <v>410</v>
      </c>
      <c r="J331" s="103"/>
      <c r="K331" s="1"/>
    </row>
    <row r="332" spans="1:11" ht="24" customHeight="1" thickBot="1" x14ac:dyDescent="0.3">
      <c r="A332" s="1"/>
      <c r="B332" s="74" t="s">
        <v>459</v>
      </c>
      <c r="C332" s="102" t="s">
        <v>460</v>
      </c>
      <c r="D332" s="102"/>
      <c r="E332" s="99" t="s">
        <v>453</v>
      </c>
      <c r="F332" s="100"/>
      <c r="G332" s="78" t="s">
        <v>424</v>
      </c>
      <c r="H332" s="76">
        <v>6584000</v>
      </c>
      <c r="I332" s="103" t="s">
        <v>410</v>
      </c>
      <c r="J332" s="103"/>
      <c r="K332" s="1"/>
    </row>
    <row r="333" spans="1:11" ht="24" customHeight="1" thickBot="1" x14ac:dyDescent="0.3">
      <c r="A333" s="1"/>
      <c r="B333" s="74" t="s">
        <v>461</v>
      </c>
      <c r="C333" s="102" t="s">
        <v>462</v>
      </c>
      <c r="D333" s="102"/>
      <c r="E333" s="99" t="s">
        <v>433</v>
      </c>
      <c r="F333" s="100"/>
      <c r="G333" s="78" t="s">
        <v>424</v>
      </c>
      <c r="H333" s="76">
        <v>2775000</v>
      </c>
      <c r="I333" s="103" t="s">
        <v>410</v>
      </c>
      <c r="J333" s="103"/>
      <c r="K333" s="1"/>
    </row>
    <row r="334" spans="1:11" ht="24" customHeight="1" thickBot="1" x14ac:dyDescent="0.3">
      <c r="A334" s="1"/>
      <c r="B334" s="74" t="s">
        <v>463</v>
      </c>
      <c r="C334" s="102" t="s">
        <v>462</v>
      </c>
      <c r="D334" s="102"/>
      <c r="E334" s="99" t="s">
        <v>464</v>
      </c>
      <c r="F334" s="100"/>
      <c r="G334" s="78" t="s">
        <v>465</v>
      </c>
      <c r="H334" s="76">
        <v>9150000</v>
      </c>
      <c r="I334" s="103" t="s">
        <v>410</v>
      </c>
      <c r="J334" s="103"/>
      <c r="K334" s="1"/>
    </row>
    <row r="335" spans="1:11" ht="24" customHeight="1" thickBot="1" x14ac:dyDescent="0.3">
      <c r="A335" s="1"/>
      <c r="B335" s="74" t="s">
        <v>538</v>
      </c>
      <c r="C335" s="123" t="s">
        <v>535</v>
      </c>
      <c r="D335" s="124"/>
      <c r="E335" s="125" t="s">
        <v>536</v>
      </c>
      <c r="F335" s="126"/>
      <c r="G335" s="78" t="s">
        <v>537</v>
      </c>
      <c r="H335" s="76">
        <f>9725000+4500000+8800000</f>
        <v>23025000</v>
      </c>
      <c r="I335" s="103" t="s">
        <v>410</v>
      </c>
      <c r="J335" s="103"/>
      <c r="K335" s="1"/>
    </row>
    <row r="336" spans="1:11" ht="34.5" customHeight="1" thickBot="1" x14ac:dyDescent="0.3">
      <c r="A336" s="1"/>
      <c r="B336" s="74" t="s">
        <v>539</v>
      </c>
      <c r="C336" s="123" t="s">
        <v>458</v>
      </c>
      <c r="D336" s="124"/>
      <c r="E336" s="125" t="s">
        <v>540</v>
      </c>
      <c r="F336" s="126"/>
      <c r="G336" s="78" t="s">
        <v>537</v>
      </c>
      <c r="H336" s="76">
        <v>33000000</v>
      </c>
      <c r="I336" s="103" t="s">
        <v>410</v>
      </c>
      <c r="J336" s="103"/>
      <c r="K336" s="1"/>
    </row>
    <row r="337" spans="1:11" ht="12" customHeight="1" thickBot="1" x14ac:dyDescent="0.3">
      <c r="A337" s="1"/>
      <c r="B337" s="74" t="s">
        <v>553</v>
      </c>
      <c r="C337" s="123" t="s">
        <v>458</v>
      </c>
      <c r="D337" s="124"/>
      <c r="E337" s="125" t="s">
        <v>554</v>
      </c>
      <c r="F337" s="126"/>
      <c r="G337" s="78" t="s">
        <v>409</v>
      </c>
      <c r="H337" s="76">
        <v>13645000</v>
      </c>
      <c r="I337" s="103" t="s">
        <v>410</v>
      </c>
      <c r="J337" s="103"/>
      <c r="K337" s="1"/>
    </row>
    <row r="338" spans="1:11" ht="15.75" thickBot="1" x14ac:dyDescent="0.3">
      <c r="A338" s="1"/>
      <c r="B338" s="74"/>
      <c r="C338" s="102"/>
      <c r="D338" s="102"/>
      <c r="E338" s="99"/>
      <c r="F338" s="100"/>
      <c r="G338" s="78"/>
      <c r="H338" s="76"/>
      <c r="I338" s="103"/>
      <c r="J338" s="103"/>
      <c r="K338" s="1"/>
    </row>
    <row r="339" spans="1:11" ht="3.75" customHeight="1" thickBot="1" x14ac:dyDescent="0.3">
      <c r="A339" s="1"/>
      <c r="B339" s="74"/>
      <c r="C339" s="98"/>
      <c r="D339" s="98"/>
      <c r="E339" s="114"/>
      <c r="F339" s="115"/>
      <c r="G339" s="75"/>
      <c r="H339" s="76"/>
      <c r="I339" s="103"/>
      <c r="J339" s="103"/>
      <c r="K339" s="1"/>
    </row>
    <row r="340" spans="1:11" ht="29.25" customHeight="1" x14ac:dyDescent="0.25">
      <c r="A340" s="1"/>
      <c r="B340" s="83"/>
      <c r="C340" s="1"/>
      <c r="D340" s="1"/>
      <c r="E340" s="1"/>
      <c r="F340" s="1"/>
      <c r="G340" s="1"/>
      <c r="H340" s="1"/>
      <c r="I340" s="1"/>
      <c r="J340" s="1"/>
      <c r="K340" s="1"/>
    </row>
    <row r="341" spans="1:11" ht="24" customHeight="1" x14ac:dyDescent="0.25">
      <c r="A341" s="1"/>
      <c r="B341" s="69"/>
      <c r="C341" s="26"/>
      <c r="D341" s="26"/>
      <c r="E341" s="26"/>
      <c r="F341" s="26"/>
      <c r="G341" s="26"/>
      <c r="H341" s="26"/>
      <c r="I341" s="26"/>
      <c r="J341" s="26"/>
      <c r="K341" s="1"/>
    </row>
    <row r="342" spans="1:11" ht="24" customHeight="1" x14ac:dyDescent="0.25">
      <c r="A342" s="1"/>
      <c r="B342" s="119" t="s">
        <v>403</v>
      </c>
      <c r="C342" s="119"/>
      <c r="D342" s="119"/>
      <c r="E342" s="119"/>
      <c r="F342" s="119"/>
      <c r="G342" s="119"/>
      <c r="H342" s="119"/>
      <c r="I342" s="119"/>
      <c r="J342" s="119"/>
      <c r="K342" s="1"/>
    </row>
    <row r="343" spans="1:11" ht="24" customHeight="1" x14ac:dyDescent="0.25">
      <c r="A343" s="1"/>
      <c r="B343" s="70"/>
      <c r="C343" s="26"/>
      <c r="D343" s="26"/>
      <c r="E343" s="26"/>
      <c r="F343" s="26"/>
      <c r="G343" s="26"/>
      <c r="H343" s="26"/>
      <c r="I343" s="26"/>
      <c r="J343" s="26"/>
      <c r="K343" s="1"/>
    </row>
    <row r="344" spans="1:11" ht="24" customHeight="1" x14ac:dyDescent="0.2">
      <c r="A344" s="1"/>
      <c r="B344" s="71" t="s">
        <v>350</v>
      </c>
      <c r="C344" s="71" t="s">
        <v>351</v>
      </c>
      <c r="D344" s="72"/>
      <c r="E344" s="120" t="s">
        <v>352</v>
      </c>
      <c r="F344" s="120"/>
      <c r="G344" s="72" t="s">
        <v>353</v>
      </c>
      <c r="H344" s="73" t="s">
        <v>354</v>
      </c>
      <c r="I344" s="120" t="s">
        <v>355</v>
      </c>
      <c r="J344" s="120"/>
      <c r="K344" s="1"/>
    </row>
    <row r="345" spans="1:11" ht="24" customHeight="1" thickBot="1" x14ac:dyDescent="0.3">
      <c r="A345" s="1"/>
      <c r="B345" s="74" t="s">
        <v>435</v>
      </c>
      <c r="C345" s="116" t="s">
        <v>436</v>
      </c>
      <c r="D345" s="116"/>
      <c r="E345" s="117" t="s">
        <v>437</v>
      </c>
      <c r="F345" s="118"/>
      <c r="G345" s="75" t="s">
        <v>413</v>
      </c>
      <c r="H345" s="76">
        <v>687000</v>
      </c>
      <c r="I345" s="103" t="s">
        <v>410</v>
      </c>
      <c r="J345" s="103"/>
      <c r="K345" s="1"/>
    </row>
    <row r="346" spans="1:11" ht="24" customHeight="1" thickBot="1" x14ac:dyDescent="0.3">
      <c r="A346" s="1"/>
      <c r="B346" s="93" t="s">
        <v>568</v>
      </c>
      <c r="C346" s="102" t="s">
        <v>569</v>
      </c>
      <c r="D346" s="102"/>
      <c r="E346" s="99" t="s">
        <v>542</v>
      </c>
      <c r="F346" s="100"/>
      <c r="G346" s="78" t="s">
        <v>413</v>
      </c>
      <c r="H346" s="79">
        <v>3000000</v>
      </c>
      <c r="I346" s="121" t="s">
        <v>410</v>
      </c>
      <c r="J346" s="122"/>
      <c r="K346" s="1"/>
    </row>
    <row r="347" spans="1:11" ht="24" customHeight="1" thickBot="1" x14ac:dyDescent="0.3">
      <c r="A347" s="1"/>
      <c r="B347" s="74" t="s">
        <v>574</v>
      </c>
      <c r="C347" s="102" t="s">
        <v>575</v>
      </c>
      <c r="D347" s="102"/>
      <c r="E347" s="99" t="s">
        <v>576</v>
      </c>
      <c r="F347" s="100"/>
      <c r="G347" s="75">
        <v>2017</v>
      </c>
      <c r="H347" s="76">
        <v>246000</v>
      </c>
      <c r="I347" s="121" t="s">
        <v>410</v>
      </c>
      <c r="J347" s="122"/>
      <c r="K347" s="1"/>
    </row>
    <row r="348" spans="1:11" ht="24" customHeight="1" thickBot="1" x14ac:dyDescent="0.3">
      <c r="A348" s="1"/>
      <c r="B348" s="74"/>
      <c r="C348" s="102"/>
      <c r="D348" s="102"/>
      <c r="E348" s="99"/>
      <c r="F348" s="100"/>
      <c r="G348" s="75"/>
      <c r="H348" s="76"/>
      <c r="I348" s="103"/>
      <c r="J348" s="103"/>
      <c r="K348" s="1"/>
    </row>
    <row r="349" spans="1:11" ht="24" customHeight="1" thickBot="1" x14ac:dyDescent="0.3">
      <c r="A349" s="1"/>
      <c r="B349" s="74"/>
      <c r="C349" s="102"/>
      <c r="D349" s="102"/>
      <c r="E349" s="99"/>
      <c r="F349" s="100"/>
      <c r="G349" s="75"/>
      <c r="H349" s="76"/>
      <c r="I349" s="103"/>
      <c r="J349" s="103"/>
      <c r="K349" s="1"/>
    </row>
    <row r="350" spans="1:11" ht="24" customHeight="1" thickBot="1" x14ac:dyDescent="0.3">
      <c r="A350" s="1"/>
      <c r="B350" s="74"/>
      <c r="C350" s="102"/>
      <c r="D350" s="102"/>
      <c r="E350" s="99"/>
      <c r="F350" s="100"/>
      <c r="G350" s="75"/>
      <c r="H350" s="76"/>
      <c r="I350" s="104"/>
      <c r="J350" s="104"/>
      <c r="K350" s="1"/>
    </row>
    <row r="351" spans="1:11" ht="24" customHeight="1" thickBot="1" x14ac:dyDescent="0.3">
      <c r="A351" s="1"/>
      <c r="B351" s="74"/>
      <c r="C351" s="102"/>
      <c r="D351" s="102"/>
      <c r="E351" s="99"/>
      <c r="F351" s="100"/>
      <c r="G351" s="75"/>
      <c r="H351" s="76"/>
      <c r="I351" s="104"/>
      <c r="J351" s="104"/>
      <c r="K351" s="1"/>
    </row>
    <row r="352" spans="1:11" ht="24" customHeight="1" thickBot="1" x14ac:dyDescent="0.3">
      <c r="A352" s="1"/>
      <c r="B352" s="74"/>
      <c r="C352" s="102"/>
      <c r="D352" s="102"/>
      <c r="E352" s="99"/>
      <c r="F352" s="100"/>
      <c r="G352" s="75"/>
      <c r="H352" s="76"/>
      <c r="I352" s="104"/>
      <c r="J352" s="104"/>
      <c r="K352" s="1"/>
    </row>
    <row r="353" spans="1:11" ht="34.5" customHeight="1" thickBot="1" x14ac:dyDescent="0.3">
      <c r="A353" s="1"/>
      <c r="B353" s="74"/>
      <c r="C353" s="102"/>
      <c r="D353" s="102"/>
      <c r="E353" s="99"/>
      <c r="F353" s="100"/>
      <c r="G353" s="75"/>
      <c r="H353" s="76"/>
      <c r="I353" s="104"/>
      <c r="J353" s="104"/>
      <c r="K353" s="1"/>
    </row>
    <row r="354" spans="1:11" ht="12" customHeight="1" thickBot="1" x14ac:dyDescent="0.3">
      <c r="A354" s="1"/>
      <c r="B354" s="74"/>
      <c r="C354" s="102"/>
      <c r="D354" s="102"/>
      <c r="E354" s="99"/>
      <c r="F354" s="100"/>
      <c r="G354" s="75"/>
      <c r="H354" s="76"/>
      <c r="I354" s="104"/>
      <c r="J354" s="104"/>
      <c r="K354" s="1"/>
    </row>
    <row r="355" spans="1:11" ht="15.75" thickBot="1" x14ac:dyDescent="0.3">
      <c r="A355" s="1"/>
      <c r="B355" s="74"/>
      <c r="C355" s="102"/>
      <c r="D355" s="102"/>
      <c r="E355" s="99"/>
      <c r="F355" s="100"/>
      <c r="G355" s="75"/>
      <c r="H355" s="76"/>
      <c r="I355" s="104"/>
      <c r="J355" s="104"/>
      <c r="K355" s="1"/>
    </row>
    <row r="356" spans="1:11" ht="3.75" customHeight="1" thickBot="1" x14ac:dyDescent="0.3">
      <c r="A356" s="1"/>
      <c r="B356" s="74"/>
      <c r="C356" s="98"/>
      <c r="D356" s="98"/>
      <c r="E356" s="114"/>
      <c r="F356" s="115"/>
      <c r="G356" s="75"/>
      <c r="H356" s="76"/>
      <c r="I356" s="101"/>
      <c r="J356" s="101"/>
      <c r="K356" s="1"/>
    </row>
    <row r="357" spans="1:11" ht="29.25" customHeight="1" x14ac:dyDescent="0.25">
      <c r="A357" s="1"/>
      <c r="B357" s="83"/>
      <c r="C357" s="1"/>
      <c r="D357" s="1"/>
      <c r="E357" s="1"/>
      <c r="F357" s="1"/>
      <c r="G357" s="1"/>
      <c r="H357" s="1"/>
      <c r="I357" s="1"/>
      <c r="J357" s="1"/>
      <c r="K357" s="1"/>
    </row>
    <row r="358" spans="1:11" ht="24" customHeight="1" x14ac:dyDescent="0.25">
      <c r="A358" s="1"/>
      <c r="B358" s="69"/>
      <c r="C358" s="26"/>
      <c r="D358" s="26"/>
      <c r="E358" s="26"/>
      <c r="F358" s="26"/>
      <c r="G358" s="26"/>
      <c r="H358" s="26"/>
      <c r="I358" s="26"/>
      <c r="J358" s="26"/>
      <c r="K358" s="1"/>
    </row>
    <row r="359" spans="1:11" ht="24" customHeight="1" x14ac:dyDescent="0.25">
      <c r="A359" s="1"/>
      <c r="B359" s="119" t="s">
        <v>404</v>
      </c>
      <c r="C359" s="119"/>
      <c r="D359" s="119"/>
      <c r="E359" s="119"/>
      <c r="F359" s="119"/>
      <c r="G359" s="119"/>
      <c r="H359" s="119"/>
      <c r="I359" s="119"/>
      <c r="J359" s="119"/>
      <c r="K359" s="1"/>
    </row>
    <row r="360" spans="1:11" ht="24" customHeight="1" x14ac:dyDescent="0.25">
      <c r="A360" s="1"/>
      <c r="B360" s="70"/>
      <c r="C360" s="26"/>
      <c r="D360" s="26"/>
      <c r="E360" s="26"/>
      <c r="F360" s="26"/>
      <c r="G360" s="26"/>
      <c r="H360" s="26"/>
      <c r="I360" s="26"/>
      <c r="J360" s="26"/>
      <c r="K360" s="1"/>
    </row>
    <row r="361" spans="1:11" ht="24" customHeight="1" x14ac:dyDescent="0.2">
      <c r="A361" s="1"/>
      <c r="B361" s="71" t="s">
        <v>350</v>
      </c>
      <c r="C361" s="71" t="s">
        <v>351</v>
      </c>
      <c r="D361" s="72"/>
      <c r="E361" s="120" t="s">
        <v>352</v>
      </c>
      <c r="F361" s="120"/>
      <c r="G361" s="72" t="s">
        <v>353</v>
      </c>
      <c r="H361" s="73" t="s">
        <v>354</v>
      </c>
      <c r="I361" s="120" t="s">
        <v>355</v>
      </c>
      <c r="J361" s="120"/>
      <c r="K361" s="1"/>
    </row>
    <row r="362" spans="1:11" ht="24" customHeight="1" thickBot="1" x14ac:dyDescent="0.3">
      <c r="A362" s="1"/>
      <c r="B362" s="74"/>
      <c r="C362" s="116"/>
      <c r="D362" s="116"/>
      <c r="E362" s="117"/>
      <c r="F362" s="118"/>
      <c r="G362" s="75"/>
      <c r="H362" s="76"/>
      <c r="I362" s="103"/>
      <c r="J362" s="103"/>
      <c r="K362" s="1"/>
    </row>
    <row r="363" spans="1:11" ht="24" customHeight="1" thickBot="1" x14ac:dyDescent="0.3">
      <c r="A363" s="1"/>
      <c r="B363" s="74"/>
      <c r="C363" s="102"/>
      <c r="D363" s="102"/>
      <c r="E363" s="99"/>
      <c r="F363" s="100"/>
      <c r="G363" s="75"/>
      <c r="H363" s="76"/>
      <c r="I363" s="104"/>
      <c r="J363" s="104"/>
      <c r="K363" s="1"/>
    </row>
    <row r="364" spans="1:11" ht="24" customHeight="1" thickBot="1" x14ac:dyDescent="0.3">
      <c r="A364" s="1"/>
      <c r="B364" s="74"/>
      <c r="C364" s="102"/>
      <c r="D364" s="102"/>
      <c r="E364" s="99"/>
      <c r="F364" s="100"/>
      <c r="G364" s="75"/>
      <c r="H364" s="76"/>
      <c r="I364" s="104"/>
      <c r="J364" s="104"/>
      <c r="K364" s="1"/>
    </row>
    <row r="365" spans="1:11" ht="24" customHeight="1" thickBot="1" x14ac:dyDescent="0.3">
      <c r="A365" s="1"/>
      <c r="B365" s="74"/>
      <c r="C365" s="102"/>
      <c r="D365" s="102"/>
      <c r="E365" s="99"/>
      <c r="F365" s="100"/>
      <c r="G365" s="75"/>
      <c r="H365" s="76"/>
      <c r="I365" s="104"/>
      <c r="J365" s="104"/>
      <c r="K365" s="1"/>
    </row>
    <row r="366" spans="1:11" ht="24" customHeight="1" thickBot="1" x14ac:dyDescent="0.3">
      <c r="A366" s="1"/>
      <c r="B366" s="74"/>
      <c r="C366" s="102"/>
      <c r="D366" s="102"/>
      <c r="E366" s="99"/>
      <c r="F366" s="100"/>
      <c r="G366" s="75"/>
      <c r="H366" s="76"/>
      <c r="I366" s="104"/>
      <c r="J366" s="104"/>
      <c r="K366" s="1"/>
    </row>
    <row r="367" spans="1:11" ht="24" customHeight="1" thickBot="1" x14ac:dyDescent="0.3">
      <c r="A367" s="1"/>
      <c r="B367" s="74"/>
      <c r="C367" s="102"/>
      <c r="D367" s="102"/>
      <c r="E367" s="99"/>
      <c r="F367" s="100"/>
      <c r="G367" s="75"/>
      <c r="H367" s="76"/>
      <c r="I367" s="104"/>
      <c r="J367" s="104"/>
      <c r="K367" s="1"/>
    </row>
    <row r="368" spans="1:11" ht="24" customHeight="1" thickBot="1" x14ac:dyDescent="0.3">
      <c r="A368" s="1"/>
      <c r="B368" s="74"/>
      <c r="C368" s="102"/>
      <c r="D368" s="102"/>
      <c r="E368" s="99"/>
      <c r="F368" s="100"/>
      <c r="G368" s="75"/>
      <c r="H368" s="76"/>
      <c r="I368" s="104"/>
      <c r="J368" s="104"/>
      <c r="K368" s="1"/>
    </row>
    <row r="369" spans="1:11" ht="24" customHeight="1" thickBot="1" x14ac:dyDescent="0.3">
      <c r="A369" s="1"/>
      <c r="B369" s="74"/>
      <c r="C369" s="102"/>
      <c r="D369" s="102"/>
      <c r="E369" s="99"/>
      <c r="F369" s="100"/>
      <c r="G369" s="75"/>
      <c r="H369" s="76"/>
      <c r="I369" s="104"/>
      <c r="J369" s="104"/>
      <c r="K369" s="1"/>
    </row>
    <row r="370" spans="1:11" ht="4.5" customHeight="1" thickBot="1" x14ac:dyDescent="0.3">
      <c r="A370" s="1"/>
      <c r="B370" s="74"/>
      <c r="C370" s="102"/>
      <c r="D370" s="102"/>
      <c r="E370" s="99"/>
      <c r="F370" s="100"/>
      <c r="G370" s="75"/>
      <c r="H370" s="76"/>
      <c r="I370" s="104"/>
      <c r="J370" s="104"/>
      <c r="K370" s="1"/>
    </row>
    <row r="371" spans="1:11" ht="6.75" customHeight="1" thickBot="1" x14ac:dyDescent="0.3">
      <c r="A371" s="1"/>
      <c r="B371" s="74"/>
      <c r="C371" s="102"/>
      <c r="D371" s="102"/>
      <c r="E371" s="99"/>
      <c r="F371" s="100"/>
      <c r="G371" s="75"/>
      <c r="H371" s="76"/>
      <c r="I371" s="104"/>
      <c r="J371" s="104"/>
      <c r="K371" s="1"/>
    </row>
    <row r="372" spans="1:11" ht="55.5" customHeight="1" thickBot="1" x14ac:dyDescent="0.3">
      <c r="A372" s="1"/>
      <c r="B372" s="74"/>
      <c r="C372" s="102"/>
      <c r="D372" s="102"/>
      <c r="E372" s="99"/>
      <c r="F372" s="100"/>
      <c r="G372" s="75"/>
      <c r="H372" s="76"/>
      <c r="I372" s="104"/>
      <c r="J372" s="104"/>
      <c r="K372" s="1"/>
    </row>
    <row r="373" spans="1:11" ht="36" customHeight="1" thickBot="1" x14ac:dyDescent="0.3">
      <c r="A373" s="1"/>
      <c r="B373" s="74"/>
      <c r="C373" s="98"/>
      <c r="D373" s="98"/>
      <c r="E373" s="114"/>
      <c r="F373" s="115"/>
      <c r="G373" s="75"/>
      <c r="H373" s="76"/>
      <c r="I373" s="101"/>
      <c r="J373" s="101"/>
      <c r="K373" s="1"/>
    </row>
    <row r="374" spans="1:11" ht="39" customHeight="1" x14ac:dyDescent="0.25">
      <c r="A374" s="1"/>
      <c r="B374" s="83"/>
      <c r="C374" s="1"/>
      <c r="D374" s="1"/>
      <c r="E374" s="1"/>
      <c r="F374" s="1"/>
      <c r="G374" s="1"/>
      <c r="H374" s="1"/>
      <c r="I374" s="1"/>
      <c r="J374" s="1"/>
      <c r="K374" s="1"/>
    </row>
    <row r="375" spans="1:11" x14ac:dyDescent="0.25">
      <c r="A375" s="1"/>
      <c r="B375" s="83"/>
      <c r="C375" s="1"/>
      <c r="D375" s="1"/>
      <c r="E375" s="1"/>
      <c r="F375" s="1"/>
      <c r="G375" s="1"/>
      <c r="H375" s="1"/>
      <c r="I375" s="1"/>
      <c r="J375" s="1"/>
      <c r="K375" s="1"/>
    </row>
    <row r="376" spans="1:11" ht="27.75" customHeight="1" x14ac:dyDescent="0.25">
      <c r="A376" s="1"/>
      <c r="B376" s="105" t="s">
        <v>405</v>
      </c>
      <c r="C376" s="106"/>
      <c r="D376" s="106"/>
      <c r="E376" s="106"/>
      <c r="F376" s="106"/>
      <c r="G376" s="106"/>
      <c r="H376" s="106"/>
      <c r="I376" s="106"/>
      <c r="J376" s="107"/>
      <c r="K376" s="1"/>
    </row>
    <row r="377" spans="1:11" ht="15.75" x14ac:dyDescent="0.25">
      <c r="A377" s="1"/>
      <c r="B377" s="108" t="s">
        <v>406</v>
      </c>
      <c r="C377" s="109"/>
      <c r="D377" s="109"/>
      <c r="E377" s="109"/>
      <c r="F377" s="109"/>
      <c r="G377" s="109"/>
      <c r="H377" s="109"/>
      <c r="I377" s="109"/>
      <c r="J377" s="110"/>
      <c r="K377" s="1"/>
    </row>
    <row r="378" spans="1:11" ht="27" customHeight="1" x14ac:dyDescent="0.25">
      <c r="A378" s="1"/>
      <c r="B378" s="111" t="s">
        <v>407</v>
      </c>
      <c r="C378" s="112"/>
      <c r="D378" s="112"/>
      <c r="E378" s="112"/>
      <c r="F378" s="112"/>
      <c r="G378" s="112"/>
      <c r="H378" s="112"/>
      <c r="I378" s="112"/>
      <c r="J378" s="113"/>
      <c r="K378" s="1"/>
    </row>
    <row r="379" spans="1:11" x14ac:dyDescent="0.25">
      <c r="A379" s="1"/>
      <c r="B379" s="83"/>
      <c r="C379" s="1"/>
      <c r="D379" s="1"/>
      <c r="E379" s="1"/>
      <c r="F379" s="1"/>
      <c r="G379" s="1"/>
      <c r="H379" s="1"/>
      <c r="I379" s="1"/>
      <c r="J379" s="1"/>
      <c r="K379" s="1"/>
    </row>
  </sheetData>
  <sheetProtection algorithmName="SHA-512" hashValue="01ei1I7D/epGifxFoVz+ndDQeF+ABgDDw1tYq0z8rc0YRppcky62M2+mA6Hc0w0f1uqPeR8z7WsfLuiHH6Ei/g==" saltValue="MPicOYWJJUEoD49vl5MPAA==" spinCount="100000" sheet="1" objects="1" scenarios="1" selectLockedCells="1"/>
  <mergeCells count="597">
    <mergeCell ref="C11:H11"/>
    <mergeCell ref="C12:H12"/>
    <mergeCell ref="C14:H14"/>
    <mergeCell ref="C15:H15"/>
    <mergeCell ref="C17:H17"/>
    <mergeCell ref="C18:H18"/>
    <mergeCell ref="B2:J2"/>
    <mergeCell ref="B4:I4"/>
    <mergeCell ref="C6:J6"/>
    <mergeCell ref="C8:D8"/>
    <mergeCell ref="I8:J8"/>
    <mergeCell ref="C10:H10"/>
    <mergeCell ref="B29:G29"/>
    <mergeCell ref="B30:B31"/>
    <mergeCell ref="D30:F30"/>
    <mergeCell ref="H30:J30"/>
    <mergeCell ref="D31:F31"/>
    <mergeCell ref="H31:J31"/>
    <mergeCell ref="C20:H20"/>
    <mergeCell ref="C21:H21"/>
    <mergeCell ref="C23:H23"/>
    <mergeCell ref="C24:H24"/>
    <mergeCell ref="C26:J26"/>
    <mergeCell ref="C27:F27"/>
    <mergeCell ref="B38:J38"/>
    <mergeCell ref="B40:C40"/>
    <mergeCell ref="D40:F40"/>
    <mergeCell ref="H40:J40"/>
    <mergeCell ref="B41:C41"/>
    <mergeCell ref="D41:G41"/>
    <mergeCell ref="H41:J41"/>
    <mergeCell ref="D32:F32"/>
    <mergeCell ref="H32:J32"/>
    <mergeCell ref="B34:G34"/>
    <mergeCell ref="D35:F35"/>
    <mergeCell ref="H35:J35"/>
    <mergeCell ref="D36:F36"/>
    <mergeCell ref="H36:J36"/>
    <mergeCell ref="B44:J44"/>
    <mergeCell ref="B45:C45"/>
    <mergeCell ref="D45:G45"/>
    <mergeCell ref="H45:J45"/>
    <mergeCell ref="B46:C46"/>
    <mergeCell ref="D46:G46"/>
    <mergeCell ref="H46:J46"/>
    <mergeCell ref="B42:C42"/>
    <mergeCell ref="D42:G42"/>
    <mergeCell ref="H42:J42"/>
    <mergeCell ref="B43:C43"/>
    <mergeCell ref="D43:G43"/>
    <mergeCell ref="H43:J43"/>
    <mergeCell ref="E54:F54"/>
    <mergeCell ref="E55:F55"/>
    <mergeCell ref="B57:H57"/>
    <mergeCell ref="C58:F58"/>
    <mergeCell ref="H58:J58"/>
    <mergeCell ref="C59:F59"/>
    <mergeCell ref="H59:J59"/>
    <mergeCell ref="B48:J48"/>
    <mergeCell ref="B49:C49"/>
    <mergeCell ref="F49:G49"/>
    <mergeCell ref="B51:J51"/>
    <mergeCell ref="E52:F52"/>
    <mergeCell ref="E53:F53"/>
    <mergeCell ref="B65:I65"/>
    <mergeCell ref="B67:B68"/>
    <mergeCell ref="D67:F67"/>
    <mergeCell ref="B70:B71"/>
    <mergeCell ref="D70:F70"/>
    <mergeCell ref="B73:B74"/>
    <mergeCell ref="D73:F73"/>
    <mergeCell ref="C60:F60"/>
    <mergeCell ref="H60:J60"/>
    <mergeCell ref="C61:F61"/>
    <mergeCell ref="H61:J61"/>
    <mergeCell ref="C62:F62"/>
    <mergeCell ref="H62:J62"/>
    <mergeCell ref="B95:G95"/>
    <mergeCell ref="C97:J97"/>
    <mergeCell ref="C98:J98"/>
    <mergeCell ref="C99:J99"/>
    <mergeCell ref="B101:I101"/>
    <mergeCell ref="I103:J103"/>
    <mergeCell ref="B76:B77"/>
    <mergeCell ref="D76:F76"/>
    <mergeCell ref="B79:J79"/>
    <mergeCell ref="B81:I81"/>
    <mergeCell ref="B83:J83"/>
    <mergeCell ref="B89:J89"/>
    <mergeCell ref="B112:F112"/>
    <mergeCell ref="I112:J112"/>
    <mergeCell ref="B114:J114"/>
    <mergeCell ref="B116:I116"/>
    <mergeCell ref="I118:J118"/>
    <mergeCell ref="B119:F119"/>
    <mergeCell ref="I119:J119"/>
    <mergeCell ref="B104:F104"/>
    <mergeCell ref="B106:F106"/>
    <mergeCell ref="I106:J106"/>
    <mergeCell ref="B108:F108"/>
    <mergeCell ref="I108:J108"/>
    <mergeCell ref="B110:F110"/>
    <mergeCell ref="I110:J110"/>
    <mergeCell ref="C127:J127"/>
    <mergeCell ref="B129:J129"/>
    <mergeCell ref="B132:I132"/>
    <mergeCell ref="I133:J133"/>
    <mergeCell ref="I134:J134"/>
    <mergeCell ref="B135:F135"/>
    <mergeCell ref="I135:J135"/>
    <mergeCell ref="B121:F121"/>
    <mergeCell ref="I121:J121"/>
    <mergeCell ref="B123:F123"/>
    <mergeCell ref="I123:J123"/>
    <mergeCell ref="C125:J125"/>
    <mergeCell ref="C126:J126"/>
    <mergeCell ref="B143:C143"/>
    <mergeCell ref="B144:F144"/>
    <mergeCell ref="I144:J144"/>
    <mergeCell ref="B146:F146"/>
    <mergeCell ref="I146:J146"/>
    <mergeCell ref="B148:F148"/>
    <mergeCell ref="I148:J148"/>
    <mergeCell ref="B137:F137"/>
    <mergeCell ref="I137:J137"/>
    <mergeCell ref="B139:F139"/>
    <mergeCell ref="I139:J139"/>
    <mergeCell ref="B141:F141"/>
    <mergeCell ref="I141:J141"/>
    <mergeCell ref="B156:F156"/>
    <mergeCell ref="I156:J156"/>
    <mergeCell ref="B158:F158"/>
    <mergeCell ref="I158:J158"/>
    <mergeCell ref="B160:F160"/>
    <mergeCell ref="I160:J160"/>
    <mergeCell ref="B150:F150"/>
    <mergeCell ref="I150:J150"/>
    <mergeCell ref="B152:F152"/>
    <mergeCell ref="I152:J152"/>
    <mergeCell ref="B154:F154"/>
    <mergeCell ref="I154:J154"/>
    <mergeCell ref="B168:F168"/>
    <mergeCell ref="I168:J168"/>
    <mergeCell ref="B170:F170"/>
    <mergeCell ref="I170:J170"/>
    <mergeCell ref="B172:J172"/>
    <mergeCell ref="I173:J174"/>
    <mergeCell ref="B162:F162"/>
    <mergeCell ref="I162:J162"/>
    <mergeCell ref="B164:F164"/>
    <mergeCell ref="I164:J164"/>
    <mergeCell ref="B166:F166"/>
    <mergeCell ref="I166:J166"/>
    <mergeCell ref="B183:I183"/>
    <mergeCell ref="B185:J185"/>
    <mergeCell ref="E187:F187"/>
    <mergeCell ref="I187:J187"/>
    <mergeCell ref="C188:D188"/>
    <mergeCell ref="E188:F188"/>
    <mergeCell ref="I188:J188"/>
    <mergeCell ref="I175:J176"/>
    <mergeCell ref="C177:D177"/>
    <mergeCell ref="I177:J177"/>
    <mergeCell ref="B178:J178"/>
    <mergeCell ref="C179:J179"/>
    <mergeCell ref="C180:J180"/>
    <mergeCell ref="C191:D191"/>
    <mergeCell ref="E191:F191"/>
    <mergeCell ref="I191:J191"/>
    <mergeCell ref="C192:D192"/>
    <mergeCell ref="E192:F192"/>
    <mergeCell ref="I192:J192"/>
    <mergeCell ref="C189:D189"/>
    <mergeCell ref="E189:F189"/>
    <mergeCell ref="I189:J189"/>
    <mergeCell ref="C190:D190"/>
    <mergeCell ref="E190:F190"/>
    <mergeCell ref="I190:J190"/>
    <mergeCell ref="C195:D195"/>
    <mergeCell ref="E195:F195"/>
    <mergeCell ref="I195:J195"/>
    <mergeCell ref="C196:D196"/>
    <mergeCell ref="E196:F196"/>
    <mergeCell ref="I196:J196"/>
    <mergeCell ref="C193:D193"/>
    <mergeCell ref="E193:F193"/>
    <mergeCell ref="I193:J193"/>
    <mergeCell ref="C194:D194"/>
    <mergeCell ref="E194:F194"/>
    <mergeCell ref="I194:J194"/>
    <mergeCell ref="C199:D199"/>
    <mergeCell ref="E199:F199"/>
    <mergeCell ref="I199:J199"/>
    <mergeCell ref="C200:D200"/>
    <mergeCell ref="E200:F200"/>
    <mergeCell ref="I200:J200"/>
    <mergeCell ref="C197:D197"/>
    <mergeCell ref="E197:F197"/>
    <mergeCell ref="I197:J197"/>
    <mergeCell ref="C198:D198"/>
    <mergeCell ref="E198:F198"/>
    <mergeCell ref="I198:J198"/>
    <mergeCell ref="C223:D223"/>
    <mergeCell ref="E223:F223"/>
    <mergeCell ref="I223:J223"/>
    <mergeCell ref="C224:D224"/>
    <mergeCell ref="E224:F224"/>
    <mergeCell ref="I224:J224"/>
    <mergeCell ref="B202:I202"/>
    <mergeCell ref="B219:J219"/>
    <mergeCell ref="E221:F221"/>
    <mergeCell ref="I221:J221"/>
    <mergeCell ref="C222:D222"/>
    <mergeCell ref="E222:F222"/>
    <mergeCell ref="I222:J222"/>
    <mergeCell ref="B204:J204"/>
    <mergeCell ref="E206:F206"/>
    <mergeCell ref="I206:J206"/>
    <mergeCell ref="C207:D207"/>
    <mergeCell ref="E207:F207"/>
    <mergeCell ref="I207:J207"/>
    <mergeCell ref="C208:D208"/>
    <mergeCell ref="E208:F208"/>
    <mergeCell ref="I208:J208"/>
    <mergeCell ref="C209:D209"/>
    <mergeCell ref="E209:F209"/>
    <mergeCell ref="C227:D227"/>
    <mergeCell ref="E227:F227"/>
    <mergeCell ref="I227:J227"/>
    <mergeCell ref="C228:D228"/>
    <mergeCell ref="E228:F228"/>
    <mergeCell ref="I228:J228"/>
    <mergeCell ref="C225:D225"/>
    <mergeCell ref="E225:F225"/>
    <mergeCell ref="I225:J225"/>
    <mergeCell ref="C226:D226"/>
    <mergeCell ref="E226:F226"/>
    <mergeCell ref="I226:J226"/>
    <mergeCell ref="C231:D231"/>
    <mergeCell ref="E231:F231"/>
    <mergeCell ref="I231:J231"/>
    <mergeCell ref="B234:J234"/>
    <mergeCell ref="E236:F236"/>
    <mergeCell ref="I236:J236"/>
    <mergeCell ref="C229:D229"/>
    <mergeCell ref="E229:F229"/>
    <mergeCell ref="I229:J229"/>
    <mergeCell ref="C230:D230"/>
    <mergeCell ref="E230:F230"/>
    <mergeCell ref="I230:J230"/>
    <mergeCell ref="C239:D239"/>
    <mergeCell ref="E239:F239"/>
    <mergeCell ref="I239:J239"/>
    <mergeCell ref="C240:D240"/>
    <mergeCell ref="E240:F240"/>
    <mergeCell ref="I240:J240"/>
    <mergeCell ref="C237:D237"/>
    <mergeCell ref="E237:F237"/>
    <mergeCell ref="I237:J237"/>
    <mergeCell ref="C238:D238"/>
    <mergeCell ref="E238:F238"/>
    <mergeCell ref="I238:J238"/>
    <mergeCell ref="C243:D243"/>
    <mergeCell ref="E243:F243"/>
    <mergeCell ref="I243:J243"/>
    <mergeCell ref="C244:D244"/>
    <mergeCell ref="E244:F244"/>
    <mergeCell ref="I244:J244"/>
    <mergeCell ref="C241:D241"/>
    <mergeCell ref="E241:F241"/>
    <mergeCell ref="I241:J241"/>
    <mergeCell ref="C242:D242"/>
    <mergeCell ref="E242:F242"/>
    <mergeCell ref="I242:J242"/>
    <mergeCell ref="C247:D247"/>
    <mergeCell ref="E247:F247"/>
    <mergeCell ref="I247:J247"/>
    <mergeCell ref="C248:D248"/>
    <mergeCell ref="E248:F248"/>
    <mergeCell ref="I248:J248"/>
    <mergeCell ref="C245:D245"/>
    <mergeCell ref="E245:F245"/>
    <mergeCell ref="I245:J245"/>
    <mergeCell ref="C246:D246"/>
    <mergeCell ref="E246:F246"/>
    <mergeCell ref="I246:J246"/>
    <mergeCell ref="C255:D255"/>
    <mergeCell ref="E255:F255"/>
    <mergeCell ref="I255:J255"/>
    <mergeCell ref="C256:D256"/>
    <mergeCell ref="E256:F256"/>
    <mergeCell ref="I256:J256"/>
    <mergeCell ref="B251:J251"/>
    <mergeCell ref="E253:F253"/>
    <mergeCell ref="I253:J253"/>
    <mergeCell ref="C254:D254"/>
    <mergeCell ref="E254:F254"/>
    <mergeCell ref="I254:J254"/>
    <mergeCell ref="C259:D259"/>
    <mergeCell ref="E259:F259"/>
    <mergeCell ref="I259:J259"/>
    <mergeCell ref="C260:D260"/>
    <mergeCell ref="E260:F260"/>
    <mergeCell ref="I260:J260"/>
    <mergeCell ref="C257:D257"/>
    <mergeCell ref="E257:F257"/>
    <mergeCell ref="I257:J257"/>
    <mergeCell ref="C258:D258"/>
    <mergeCell ref="E258:F258"/>
    <mergeCell ref="I258:J258"/>
    <mergeCell ref="C263:D263"/>
    <mergeCell ref="E263:F263"/>
    <mergeCell ref="I263:J263"/>
    <mergeCell ref="C264:D264"/>
    <mergeCell ref="E264:F264"/>
    <mergeCell ref="I264:J264"/>
    <mergeCell ref="C261:D261"/>
    <mergeCell ref="E261:F261"/>
    <mergeCell ref="I261:J261"/>
    <mergeCell ref="C262:D262"/>
    <mergeCell ref="E262:F262"/>
    <mergeCell ref="I262:J262"/>
    <mergeCell ref="C267:D267"/>
    <mergeCell ref="E267:F267"/>
    <mergeCell ref="I267:J267"/>
    <mergeCell ref="B271:J271"/>
    <mergeCell ref="E273:F273"/>
    <mergeCell ref="I273:J273"/>
    <mergeCell ref="C265:D265"/>
    <mergeCell ref="E265:F265"/>
    <mergeCell ref="I265:J265"/>
    <mergeCell ref="C266:D266"/>
    <mergeCell ref="E266:F266"/>
    <mergeCell ref="I266:J266"/>
    <mergeCell ref="C276:D276"/>
    <mergeCell ref="E276:F276"/>
    <mergeCell ref="I276:J276"/>
    <mergeCell ref="C277:D277"/>
    <mergeCell ref="E277:F277"/>
    <mergeCell ref="I277:J277"/>
    <mergeCell ref="C274:D274"/>
    <mergeCell ref="E274:F274"/>
    <mergeCell ref="I274:J274"/>
    <mergeCell ref="C275:D275"/>
    <mergeCell ref="E275:F275"/>
    <mergeCell ref="I275:J275"/>
    <mergeCell ref="C281:D281"/>
    <mergeCell ref="E281:F281"/>
    <mergeCell ref="I281:J281"/>
    <mergeCell ref="C282:D282"/>
    <mergeCell ref="E282:F282"/>
    <mergeCell ref="I282:J282"/>
    <mergeCell ref="C278:D278"/>
    <mergeCell ref="E278:F278"/>
    <mergeCell ref="I278:J278"/>
    <mergeCell ref="I279:J279"/>
    <mergeCell ref="C280:D280"/>
    <mergeCell ref="E280:F280"/>
    <mergeCell ref="I280:J280"/>
    <mergeCell ref="C285:D285"/>
    <mergeCell ref="E285:F285"/>
    <mergeCell ref="I285:J285"/>
    <mergeCell ref="B288:J288"/>
    <mergeCell ref="E290:F290"/>
    <mergeCell ref="I290:J290"/>
    <mergeCell ref="C283:D283"/>
    <mergeCell ref="E283:F283"/>
    <mergeCell ref="I283:J283"/>
    <mergeCell ref="C284:D284"/>
    <mergeCell ref="E284:F284"/>
    <mergeCell ref="I284:J284"/>
    <mergeCell ref="C293:D293"/>
    <mergeCell ref="E293:F293"/>
    <mergeCell ref="I293:J293"/>
    <mergeCell ref="C294:D294"/>
    <mergeCell ref="E294:F294"/>
    <mergeCell ref="I294:J294"/>
    <mergeCell ref="C291:D291"/>
    <mergeCell ref="E291:F291"/>
    <mergeCell ref="I291:J291"/>
    <mergeCell ref="C292:D292"/>
    <mergeCell ref="E292:F292"/>
    <mergeCell ref="I292:J292"/>
    <mergeCell ref="C297:D297"/>
    <mergeCell ref="E297:F297"/>
    <mergeCell ref="I297:J297"/>
    <mergeCell ref="C298:D298"/>
    <mergeCell ref="E298:F298"/>
    <mergeCell ref="I298:J298"/>
    <mergeCell ref="C295:D295"/>
    <mergeCell ref="E295:F295"/>
    <mergeCell ref="I295:J295"/>
    <mergeCell ref="C296:D296"/>
    <mergeCell ref="E296:F296"/>
    <mergeCell ref="I296:J296"/>
    <mergeCell ref="C301:D301"/>
    <mergeCell ref="E301:F301"/>
    <mergeCell ref="I301:J301"/>
    <mergeCell ref="B304:J304"/>
    <mergeCell ref="E306:F306"/>
    <mergeCell ref="I306:J306"/>
    <mergeCell ref="C299:D299"/>
    <mergeCell ref="E299:F299"/>
    <mergeCell ref="I299:J299"/>
    <mergeCell ref="C300:D300"/>
    <mergeCell ref="E300:F300"/>
    <mergeCell ref="I300:J300"/>
    <mergeCell ref="C309:D309"/>
    <mergeCell ref="E309:F309"/>
    <mergeCell ref="I309:J309"/>
    <mergeCell ref="C310:D310"/>
    <mergeCell ref="E310:F310"/>
    <mergeCell ref="I310:J310"/>
    <mergeCell ref="C307:D307"/>
    <mergeCell ref="E307:F307"/>
    <mergeCell ref="I307:J307"/>
    <mergeCell ref="C308:D308"/>
    <mergeCell ref="E308:F308"/>
    <mergeCell ref="I308:J308"/>
    <mergeCell ref="C313:D313"/>
    <mergeCell ref="E313:F313"/>
    <mergeCell ref="I313:J313"/>
    <mergeCell ref="C314:D314"/>
    <mergeCell ref="E314:F314"/>
    <mergeCell ref="I314:J314"/>
    <mergeCell ref="C311:D311"/>
    <mergeCell ref="E311:F311"/>
    <mergeCell ref="I311:J311"/>
    <mergeCell ref="C312:D312"/>
    <mergeCell ref="E312:F312"/>
    <mergeCell ref="I312:J312"/>
    <mergeCell ref="C317:D317"/>
    <mergeCell ref="E317:F317"/>
    <mergeCell ref="I317:J317"/>
    <mergeCell ref="C318:D318"/>
    <mergeCell ref="E318:F318"/>
    <mergeCell ref="I318:J318"/>
    <mergeCell ref="C315:D315"/>
    <mergeCell ref="E315:F315"/>
    <mergeCell ref="I315:J315"/>
    <mergeCell ref="C316:D316"/>
    <mergeCell ref="E316:F316"/>
    <mergeCell ref="I316:J316"/>
    <mergeCell ref="C325:D325"/>
    <mergeCell ref="E325:F325"/>
    <mergeCell ref="I325:J325"/>
    <mergeCell ref="C326:D326"/>
    <mergeCell ref="E326:F326"/>
    <mergeCell ref="I326:J326"/>
    <mergeCell ref="B321:J321"/>
    <mergeCell ref="E323:F323"/>
    <mergeCell ref="I323:J323"/>
    <mergeCell ref="C324:D324"/>
    <mergeCell ref="E324:F324"/>
    <mergeCell ref="I324:J324"/>
    <mergeCell ref="C329:D329"/>
    <mergeCell ref="E329:F329"/>
    <mergeCell ref="I329:J329"/>
    <mergeCell ref="C330:D330"/>
    <mergeCell ref="E330:F330"/>
    <mergeCell ref="I330:J330"/>
    <mergeCell ref="C327:D327"/>
    <mergeCell ref="E327:F327"/>
    <mergeCell ref="I327:J327"/>
    <mergeCell ref="C328:D328"/>
    <mergeCell ref="E328:F328"/>
    <mergeCell ref="I328:J328"/>
    <mergeCell ref="C333:D333"/>
    <mergeCell ref="E333:F333"/>
    <mergeCell ref="I333:J333"/>
    <mergeCell ref="C334:D334"/>
    <mergeCell ref="E334:F334"/>
    <mergeCell ref="I334:J334"/>
    <mergeCell ref="C331:D331"/>
    <mergeCell ref="E331:F331"/>
    <mergeCell ref="I331:J331"/>
    <mergeCell ref="C332:D332"/>
    <mergeCell ref="E332:F332"/>
    <mergeCell ref="I332:J332"/>
    <mergeCell ref="C337:D337"/>
    <mergeCell ref="C338:D338"/>
    <mergeCell ref="E338:F338"/>
    <mergeCell ref="I338:J338"/>
    <mergeCell ref="C339:D339"/>
    <mergeCell ref="E339:F339"/>
    <mergeCell ref="I339:J339"/>
    <mergeCell ref="C335:D335"/>
    <mergeCell ref="E335:F335"/>
    <mergeCell ref="I335:J335"/>
    <mergeCell ref="C336:D336"/>
    <mergeCell ref="E336:F336"/>
    <mergeCell ref="I336:J336"/>
    <mergeCell ref="I337:J337"/>
    <mergeCell ref="E337:F337"/>
    <mergeCell ref="C346:D346"/>
    <mergeCell ref="E346:F346"/>
    <mergeCell ref="I346:J346"/>
    <mergeCell ref="C347:D347"/>
    <mergeCell ref="E347:F347"/>
    <mergeCell ref="I347:J347"/>
    <mergeCell ref="B342:J342"/>
    <mergeCell ref="E344:F344"/>
    <mergeCell ref="I344:J344"/>
    <mergeCell ref="C345:D345"/>
    <mergeCell ref="E345:F345"/>
    <mergeCell ref="I345:J345"/>
    <mergeCell ref="C350:D350"/>
    <mergeCell ref="E350:F350"/>
    <mergeCell ref="I350:J350"/>
    <mergeCell ref="C351:D351"/>
    <mergeCell ref="E351:F351"/>
    <mergeCell ref="I351:J351"/>
    <mergeCell ref="C348:D348"/>
    <mergeCell ref="E348:F348"/>
    <mergeCell ref="I348:J348"/>
    <mergeCell ref="C349:D349"/>
    <mergeCell ref="E349:F349"/>
    <mergeCell ref="I349:J349"/>
    <mergeCell ref="C354:D354"/>
    <mergeCell ref="E354:F354"/>
    <mergeCell ref="I354:J354"/>
    <mergeCell ref="C355:D355"/>
    <mergeCell ref="E355:F355"/>
    <mergeCell ref="I355:J355"/>
    <mergeCell ref="C352:D352"/>
    <mergeCell ref="E352:F352"/>
    <mergeCell ref="I352:J352"/>
    <mergeCell ref="C353:D353"/>
    <mergeCell ref="E353:F353"/>
    <mergeCell ref="I353:J353"/>
    <mergeCell ref="C362:D362"/>
    <mergeCell ref="E362:F362"/>
    <mergeCell ref="I362:J362"/>
    <mergeCell ref="C363:D363"/>
    <mergeCell ref="E363:F363"/>
    <mergeCell ref="I363:J363"/>
    <mergeCell ref="C356:D356"/>
    <mergeCell ref="E356:F356"/>
    <mergeCell ref="I356:J356"/>
    <mergeCell ref="B359:J359"/>
    <mergeCell ref="E361:F361"/>
    <mergeCell ref="I361:J361"/>
    <mergeCell ref="C366:D366"/>
    <mergeCell ref="E366:F366"/>
    <mergeCell ref="I366:J366"/>
    <mergeCell ref="C367:D367"/>
    <mergeCell ref="E367:F367"/>
    <mergeCell ref="I367:J367"/>
    <mergeCell ref="C364:D364"/>
    <mergeCell ref="E364:F364"/>
    <mergeCell ref="I364:J364"/>
    <mergeCell ref="C365:D365"/>
    <mergeCell ref="E365:F365"/>
    <mergeCell ref="I365:J365"/>
    <mergeCell ref="C370:D370"/>
    <mergeCell ref="E370:F370"/>
    <mergeCell ref="I370:J370"/>
    <mergeCell ref="C371:D371"/>
    <mergeCell ref="E371:F371"/>
    <mergeCell ref="I371:J371"/>
    <mergeCell ref="C368:D368"/>
    <mergeCell ref="E368:F368"/>
    <mergeCell ref="I368:J368"/>
    <mergeCell ref="C369:D369"/>
    <mergeCell ref="E369:F369"/>
    <mergeCell ref="I369:J369"/>
    <mergeCell ref="B376:J376"/>
    <mergeCell ref="B377:J377"/>
    <mergeCell ref="B378:J378"/>
    <mergeCell ref="C372:D372"/>
    <mergeCell ref="E372:F372"/>
    <mergeCell ref="I372:J372"/>
    <mergeCell ref="C373:D373"/>
    <mergeCell ref="E373:F373"/>
    <mergeCell ref="I373:J373"/>
    <mergeCell ref="I209:J209"/>
    <mergeCell ref="C210:D210"/>
    <mergeCell ref="E210:F210"/>
    <mergeCell ref="I210:J210"/>
    <mergeCell ref="C211:D211"/>
    <mergeCell ref="E211:F211"/>
    <mergeCell ref="I211:J211"/>
    <mergeCell ref="C212:D212"/>
    <mergeCell ref="E212:F212"/>
    <mergeCell ref="I212:J212"/>
    <mergeCell ref="C216:D216"/>
    <mergeCell ref="E216:F216"/>
    <mergeCell ref="I216:J216"/>
    <mergeCell ref="C213:D213"/>
    <mergeCell ref="E213:F213"/>
    <mergeCell ref="I213:J213"/>
    <mergeCell ref="C214:D214"/>
    <mergeCell ref="E214:F214"/>
    <mergeCell ref="I214:J214"/>
    <mergeCell ref="C215:D215"/>
    <mergeCell ref="E215:F215"/>
    <mergeCell ref="I215:J215"/>
  </mergeCells>
  <phoneticPr fontId="40" type="noConversion"/>
  <dataValidations count="7">
    <dataValidation type="list" allowBlank="1" showInputMessage="1" showErrorMessage="1" sqref="U9">
      <formula1>INDIRECT($B$42)</formula1>
    </dataValidation>
    <dataValidation type="list" allowBlank="1" showInputMessage="1" showErrorMessage="1" sqref="H41:J41">
      <formula1>INDIRECT($D$41)</formula1>
    </dataValidation>
    <dataValidation type="list" allowBlank="1" showInputMessage="1" showErrorMessage="1" sqref="H43:J43">
      <formula1>INDIRECT($D$43)</formula1>
    </dataValidation>
    <dataValidation type="list" allowBlank="1" showInputMessage="1" showErrorMessage="1" sqref="H42:J42">
      <formula1>INDIRECT($D$42)</formula1>
    </dataValidation>
    <dataValidation type="list" allowBlank="1" showInputMessage="1" showErrorMessage="1" sqref="I45:J46">
      <formula1>INDIRECT(#REF!)</formula1>
    </dataValidation>
    <dataValidation type="list" allowBlank="1" showInputMessage="1" showErrorMessage="1" sqref="B45:C46 B41:C43">
      <formula1>$X$3:$X$5</formula1>
    </dataValidation>
    <dataValidation type="list" allowBlank="1" showInputMessage="1" showErrorMessage="1" sqref="D45:G46 D41:G43">
      <formula1>INDIRECT($B41)</formula1>
    </dataValidation>
  </dataValidations>
  <hyperlinks>
    <hyperlink ref="B100" location="'Datos precalificación'!B396" display="Presionar aquí para continuar"/>
  </hyperlinks>
  <pageMargins left="0.69" right="0.33" top="0.37" bottom="0.37" header="0.31496062992125984" footer="0.31496062992125984"/>
  <pageSetup paperSize="9" scale="62" fitToHeight="0" orientation="portrait"/>
  <rowBreaks count="2" manualBreakCount="2">
    <brk id="181" max="16383" man="1"/>
    <brk id="302" max="16383" man="1"/>
  </rowBreaks>
  <drawing r:id="rId1"/>
  <legacyDrawing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Datos precalificación</vt:lpstr>
      <vt:lpstr>'Datos precalificación'!Área_de_impresión</vt:lpstr>
      <vt:lpstr>'Datos precalificación'!OLE_LINK1</vt:lpstr>
      <vt:lpstr>'Datos precalificación'!txtDate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Victoria Loro Redondo</dc:creator>
  <cp:lastModifiedBy>Victoria Loro</cp:lastModifiedBy>
  <cp:lastPrinted>2020-11-18T16:31:30Z</cp:lastPrinted>
  <dcterms:created xsi:type="dcterms:W3CDTF">2014-07-14T13:58:18Z</dcterms:created>
  <dcterms:modified xsi:type="dcterms:W3CDTF">2020-11-19T14:20:13Z</dcterms:modified>
</cp:coreProperties>
</file>