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TONEWEG\PRECALIFICACIONES\EIFFACE\"/>
    </mc:Choice>
  </mc:AlternateContent>
  <bookViews>
    <workbookView xWindow="0" yWindow="0" windowWidth="28800" windowHeight="11700"/>
  </bookViews>
  <sheets>
    <sheet name="Datos precalificación" sheetId="1" r:id="rId1"/>
  </sheets>
  <definedNames>
    <definedName name="_xlnm.Print_Area" localSheetId="0">'Datos precalificación'!$A$1:$K$375</definedName>
    <definedName name="OLE_LINK1" localSheetId="0">'Datos precalificación'!$B$101</definedName>
    <definedName name="txtDate" localSheetId="0">'Datos precalificación'!$I$6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18" i="1" l="1"/>
  <c r="Y217" i="1"/>
  <c r="Y216" i="1"/>
  <c r="Y215" i="1"/>
  <c r="Y214" i="1"/>
  <c r="Y213" i="1"/>
  <c r="Y212" i="1"/>
  <c r="Y211" i="1"/>
  <c r="Y210" i="1"/>
  <c r="Y209" i="1"/>
  <c r="Y208" i="1"/>
  <c r="Y207" i="1"/>
  <c r="Y206" i="1"/>
  <c r="Y205" i="1"/>
  <c r="Y204" i="1"/>
  <c r="Y237" i="1" l="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authors>
    <author>Prieto, Pedro Jose</author>
  </authors>
  <commentList>
    <comment ref="I121" authorId="0" shapeId="0">
      <text>
        <r>
          <rPr>
            <b/>
            <sz val="8"/>
            <color indexed="81"/>
            <rFont val="Tahoma"/>
            <family val="2"/>
          </rPr>
          <t>EN CASO AFIRMATIVO, INDICAR CUAL / CUALES (ISO 14001 U OTRO)</t>
        </r>
        <r>
          <rPr>
            <sz val="8"/>
            <color indexed="81"/>
            <rFont val="Tahoma"/>
            <family val="2"/>
          </rPr>
          <t xml:space="preserve">
</t>
        </r>
      </text>
    </comment>
    <comment ref="I139" authorId="0" shapeId="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text>
        <r>
          <rPr>
            <b/>
            <sz val="8"/>
            <color indexed="81"/>
            <rFont val="Tahoma"/>
            <family val="2"/>
          </rPr>
          <t xml:space="preserve">INDICAR EL ORGANISMO ACREDITADO QUE  CERTIFICA
</t>
        </r>
        <r>
          <rPr>
            <sz val="8"/>
            <color indexed="81"/>
            <rFont val="Tahoma"/>
            <family val="2"/>
          </rPr>
          <t xml:space="preserve">
</t>
        </r>
      </text>
    </comment>
    <comment ref="I152" authorId="0" shapeId="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<sst xmlns="http://schemas.openxmlformats.org/spreadsheetml/2006/main" count="778" uniqueCount="553">
  <si>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</si>
  <si>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</si>
  <si>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</si>
  <si>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</si>
  <si>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</si>
  <si>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</si>
  <si>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</si>
  <si>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</si>
  <si>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</si>
  <si>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</si>
  <si>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</si>
  <si>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</si>
  <si>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</si>
  <si>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</si>
  <si>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</si>
  <si>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</si>
  <si>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</si>
  <si>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</si>
  <si>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</si>
  <si>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</si>
  <si>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</si>
  <si>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</si>
  <si>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</si>
  <si>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</si>
  <si>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</si>
  <si>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</si>
  <si>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</si>
  <si>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</si>
  <si>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</si>
  <si>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</si>
  <si>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</si>
  <si>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</si>
  <si>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</si>
  <si>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</si>
  <si>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</si>
  <si>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</si>
  <si>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</si>
  <si>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</si>
  <si>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</si>
  <si>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</si>
  <si>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</si>
  <si>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</si>
  <si>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</si>
  <si>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</si>
  <si>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</si>
  <si>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</si>
  <si>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</si>
  <si>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</si>
  <si>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</si>
  <si>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</si>
  <si>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</si>
  <si>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</si>
  <si>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</si>
  <si>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</si>
  <si>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</si>
  <si>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</si>
  <si>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</si>
  <si>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</si>
  <si>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</si>
  <si>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</si>
  <si>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</si>
  <si>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</si>
  <si>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</si>
  <si>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</si>
  <si>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</si>
  <si>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</si>
  <si>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</si>
  <si>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</si>
  <si>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</si>
  <si>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</si>
  <si>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</si>
  <si>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</si>
  <si>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</si>
  <si>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</si>
  <si>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</si>
  <si>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</si>
  <si>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</si>
  <si>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</si>
  <si>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</si>
  <si>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</si>
  <si>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</si>
  <si>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</si>
  <si>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</si>
  <si>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</si>
  <si>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</si>
  <si>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</si>
  <si>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</si>
  <si>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</si>
  <si>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</si>
  <si>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</si>
  <si>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</si>
  <si>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</si>
  <si>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</si>
  <si>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</si>
  <si>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</si>
  <si>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</si>
  <si>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</si>
  <si>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</si>
  <si>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</si>
  <si>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</si>
  <si>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</si>
  <si>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</si>
  <si>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</si>
  <si>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</si>
  <si>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</si>
  <si>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</si>
  <si>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</si>
  <si>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</si>
  <si>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</si>
  <si>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</si>
  <si>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</si>
  <si>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</si>
  <si>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</si>
  <si>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</si>
  <si>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</si>
  <si>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</si>
  <si>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</si>
  <si>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</si>
  <si>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</si>
  <si>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</si>
  <si>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</si>
  <si>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</si>
  <si>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</si>
  <si>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</si>
  <si>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</si>
  <si>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</si>
  <si>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</si>
  <si>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</si>
  <si>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</si>
  <si>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</si>
  <si>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</si>
  <si>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</si>
  <si>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</si>
  <si>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</si>
  <si>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</si>
  <si>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</si>
  <si>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</si>
  <si>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</si>
  <si>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</si>
  <si>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</si>
  <si>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</si>
  <si>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</si>
  <si>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</si>
  <si>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</si>
  <si>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</si>
  <si>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</si>
  <si>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</si>
  <si>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</si>
  <si>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</si>
  <si>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</si>
  <si>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</si>
  <si>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</si>
  <si>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</si>
  <si>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</si>
  <si>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</si>
  <si>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</si>
  <si>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</si>
  <si>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</si>
  <si>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</si>
  <si>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</si>
  <si>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</si>
  <si>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</si>
  <si>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</si>
  <si>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</si>
  <si>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</si>
  <si>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</si>
  <si>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</si>
  <si>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</si>
  <si>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</si>
  <si>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</si>
  <si>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</si>
  <si>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</si>
  <si>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</si>
  <si>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</si>
  <si>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</si>
  <si>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</si>
  <si>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</si>
  <si>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</si>
  <si>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</si>
  <si>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</si>
  <si>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</si>
  <si>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</si>
  <si>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</si>
  <si>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</si>
  <si>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</si>
  <si>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</si>
  <si>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</si>
  <si>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</si>
  <si>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</si>
  <si>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</si>
  <si>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</si>
  <si>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</si>
  <si>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</si>
  <si>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</si>
  <si>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</si>
  <si>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</si>
  <si>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</si>
  <si>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</si>
  <si>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</si>
  <si>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</si>
  <si>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</si>
  <si>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</si>
  <si>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</si>
  <si>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</si>
  <si>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</si>
  <si>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</si>
  <si>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</si>
  <si>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</si>
  <si>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</si>
  <si>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</si>
  <si>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</si>
  <si>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</si>
  <si>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</si>
  <si>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</si>
  <si>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</si>
  <si>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</si>
  <si>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</si>
  <si>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</si>
  <si>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</si>
  <si>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</si>
  <si>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</si>
  <si>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</si>
  <si>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</si>
  <si>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</si>
  <si>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</si>
  <si>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</si>
  <si>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</si>
  <si>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</si>
  <si>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</si>
  <si>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</si>
  <si>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</si>
  <si>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</si>
  <si>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ISO 9.001</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</si>
  <si>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</si>
  <si>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</si>
  <si>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</si>
  <si>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</si>
  <si>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</si>
  <si>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</si>
  <si>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</si>
  <si>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</si>
  <si>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</si>
  <si>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</si>
  <si>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</si>
  <si>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</si>
  <si>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</si>
  <si>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</si>
  <si>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</si>
  <si>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</si>
  <si>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</si>
  <si>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</si>
  <si>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</si>
  <si>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</si>
  <si>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</si>
  <si>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</si>
  <si>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</si>
  <si>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</si>
  <si>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</si>
  <si>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</si>
  <si>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</si>
  <si>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</si>
  <si>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</si>
  <si>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</si>
  <si>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</si>
  <si>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</si>
  <si>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</si>
  <si>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</si>
  <si>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</si>
  <si>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</si>
  <si>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</si>
  <si>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</si>
  <si>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</si>
  <si>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</si>
  <si>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</si>
  <si>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</si>
  <si>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</si>
  <si>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</si>
  <si>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</si>
  <si>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</si>
  <si>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</si>
  <si>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</si>
  <si>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</si>
  <si>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</si>
  <si>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</si>
  <si>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</si>
  <si>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</si>
  <si>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</si>
  <si>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</si>
  <si>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</si>
  <si>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</si>
  <si>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</si>
  <si>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</si>
  <si>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</si>
  <si>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</si>
  <si>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</si>
  <si>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</si>
  <si>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</si>
  <si>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</si>
  <si>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</si>
  <si>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</si>
  <si>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</si>
  <si>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</si>
  <si>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</si>
  <si>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</si>
  <si>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</si>
  <si>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</si>
  <si>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</si>
  <si>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</si>
  <si>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</si>
  <si>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</si>
  <si>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</si>
  <si>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</si>
  <si>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</si>
  <si>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</si>
  <si>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</si>
  <si>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</si>
  <si>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</si>
  <si>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</si>
  <si>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</si>
  <si>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</si>
  <si>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</si>
  <si>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</si>
  <si>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</si>
  <si>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</si>
  <si>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</si>
  <si>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</si>
  <si>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</si>
  <si>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</si>
  <si>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</si>
  <si>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</si>
  <si>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</si>
  <si>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</si>
  <si>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</si>
  <si>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</si>
  <si>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</si>
  <si>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</si>
  <si>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</si>
  <si>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</si>
  <si>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</si>
  <si>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</si>
  <si>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</si>
  <si>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</si>
  <si>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</si>
  <si>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EXPERIENCIA EN OBRAS EN LAS QUE HA INTERVENIDO BOVIS LEND LEASE</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</si>
  <si>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</si>
  <si>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</si>
  <si>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</si>
  <si>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</si>
  <si>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</si>
  <si>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</si>
  <si>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</si>
  <si>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</si>
  <si>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</si>
  <si>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</si>
  <si>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</si>
  <si>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</si>
  <si>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</si>
  <si>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</si>
  <si>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</si>
  <si>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</si>
  <si>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</si>
  <si>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</si>
  <si>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</si>
  <si>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</si>
  <si>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</si>
  <si>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</si>
  <si>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</si>
  <si>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</si>
  <si>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</si>
  <si>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</si>
  <si>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</si>
  <si>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</si>
  <si>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</si>
  <si>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</si>
  <si>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</si>
  <si>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</si>
  <si>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</si>
  <si>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</si>
  <si>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</si>
  <si>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</si>
  <si>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</si>
  <si>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</si>
  <si>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</si>
  <si>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</si>
  <si>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</si>
  <si>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</si>
  <si>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</si>
  <si>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</si>
  <si>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</si>
  <si>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</si>
  <si>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</si>
  <si>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</si>
  <si>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</si>
  <si>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</si>
  <si>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</si>
  <si>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</si>
  <si>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</si>
  <si>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</si>
  <si>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</si>
  <si>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</si>
  <si>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</si>
  <si>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</si>
  <si>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</si>
  <si>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</si>
  <si>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</si>
  <si>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</si>
  <si>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</si>
  <si>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</si>
  <si>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</si>
  <si>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CONSCYTEC - EIFFAGE E</t>
  </si>
  <si>
    <t>B02272490</t>
  </si>
  <si>
    <t>02006</t>
  </si>
  <si>
    <t>34 967 191 001</t>
  </si>
  <si>
    <t>Santiago Sanjuán García</t>
  </si>
  <si>
    <t>Eiffage</t>
  </si>
  <si>
    <t>Albacete</t>
  </si>
  <si>
    <t xml:space="preserve">Ctra de Mahora km 3,2 </t>
  </si>
  <si>
    <t>Ricardo Angulo</t>
  </si>
  <si>
    <t>Conscytec</t>
  </si>
  <si>
    <t>Eiffage Energía</t>
  </si>
  <si>
    <t>Raul.GOMEZGOMEZ@eiffage.com</t>
  </si>
  <si>
    <t>Santiago.SANJUANGARCIA@eiffage.com</t>
  </si>
  <si>
    <t>Ricardo.ANGULOCORMENZANA@eiffage.com</t>
  </si>
  <si>
    <t>Ricardo Angulo Cormenzana</t>
  </si>
  <si>
    <t>Raul Gómez Gómez</t>
  </si>
  <si>
    <t>EIFFAGE ENERGIA</t>
  </si>
  <si>
    <t>FERRALIA</t>
  </si>
  <si>
    <t>CASTELL</t>
  </si>
  <si>
    <t>ALSINA</t>
  </si>
  <si>
    <t>FACHADAS RIVENTI</t>
  </si>
  <si>
    <t>TERRATEST</t>
  </si>
  <si>
    <t>VSL</t>
  </si>
  <si>
    <t>APLYSEAL</t>
  </si>
  <si>
    <t>ANRO</t>
  </si>
  <si>
    <t>IDH ( Participada EIFFAGE )</t>
  </si>
  <si>
    <t>todos</t>
  </si>
  <si>
    <t>Por obra</t>
  </si>
  <si>
    <t>Se hace por el importe qde las obras que lo exijan</t>
  </si>
  <si>
    <t>Variable por provincia</t>
  </si>
  <si>
    <t>TODOS LOS SEGUROS OBLIGATORIOS DE TODOS LOS VEHICULOS ADEMAS DE SEGUROS DE MAQUINARIA SIN MATRICULACION</t>
  </si>
  <si>
    <t>CASER / ZÚRICH
Contratado por provincia según convenio</t>
  </si>
  <si>
    <t>ZÚRICH INSURANCE</t>
  </si>
  <si>
    <t>Varias</t>
  </si>
  <si>
    <t>Si</t>
  </si>
  <si>
    <t>ISO 14.001</t>
  </si>
  <si>
    <t>Eiffage Energía está homologada por la Fundación del Metal para impartir formación de seguridad homologada.</t>
  </si>
  <si>
    <t>Plan control de consumes de vehiculos</t>
  </si>
  <si>
    <t>Actualmente se está calculando H de Carbono en base a ISO 14.064-1</t>
  </si>
  <si>
    <t>ISO 45.001</t>
  </si>
  <si>
    <t>Reforma Centro 'Vodafone Plaza' (Urbanización)</t>
  </si>
  <si>
    <t>URW</t>
  </si>
  <si>
    <t>San Sebastián</t>
  </si>
  <si>
    <t>Nº de trabajadores por cada técnico PRL: 2731 trabajadores/43 técnicos PRL = 64 trabajadores /técnico PRL.</t>
  </si>
  <si>
    <t>Digitalización Facturación. Eliminación papel</t>
  </si>
  <si>
    <t>Vodafone</t>
  </si>
  <si>
    <t>Madrid</t>
  </si>
  <si>
    <t>Ampliación CC Garbera</t>
  </si>
  <si>
    <t>Edificio de Oficinas_ Parc Glories</t>
  </si>
  <si>
    <t>Colonial</t>
  </si>
  <si>
    <t>Barcelona</t>
  </si>
  <si>
    <t>CONTRATISTA GENERAL ÚNICO</t>
  </si>
  <si>
    <t>CONTRATISTA GENERAL ÚNICO - SOBRE RASANTE</t>
  </si>
  <si>
    <t>Torre 4 Porta Fira</t>
  </si>
  <si>
    <t>Iberdrola Inmobiliaria</t>
  </si>
  <si>
    <t>CONTRATISTA GENERAL ÚNICO - CORE&amp;SHELL + ACABADOS</t>
  </si>
  <si>
    <t>Reforma y ampliación Sede Eiffage Energía España</t>
  </si>
  <si>
    <t>Reforma Centro Comercial Imaginalia</t>
  </si>
  <si>
    <t>Benson Elliot</t>
  </si>
  <si>
    <t>Los Barrios_Cadiz</t>
  </si>
  <si>
    <t>Reforma Centro Comercial 
Las Glorias</t>
  </si>
  <si>
    <t>Reforma Centro Comercial
Larios</t>
  </si>
  <si>
    <t>Málaga</t>
  </si>
  <si>
    <t>Reforma Centro Comercial
Plaza Mayor</t>
  </si>
  <si>
    <t>CONTRATISTA GENERAL /
ESTRUCTURA + DIVERSOS PARQUETES</t>
  </si>
  <si>
    <t>Merlin Properties</t>
  </si>
  <si>
    <t>Reforma Centro Comercial 
Factory Guadacorte</t>
  </si>
  <si>
    <t>Parque Puy du Fou. Edificios AA y AC</t>
  </si>
  <si>
    <t>Puy du Fou España</t>
  </si>
  <si>
    <t>Toledo</t>
  </si>
  <si>
    <t>Desarrollos Hoteleros</t>
  </si>
  <si>
    <t>Valencia</t>
  </si>
  <si>
    <t>Hotel en Lobb Mislata</t>
  </si>
  <si>
    <t>Edificio Residencial 96 viviendas</t>
  </si>
  <si>
    <t>LaCaixa Inmobiliaria</t>
  </si>
  <si>
    <t>Vitoria</t>
  </si>
  <si>
    <t>Pinto_Madrid</t>
  </si>
  <si>
    <t>Complejo Residencial de 166 viviendas</t>
  </si>
  <si>
    <t>Residencial Olimpo - Génesis</t>
  </si>
  <si>
    <t>Olimpo&amp;Genesis</t>
  </si>
  <si>
    <t>Desarrollo Coioperativo_ BBVA</t>
  </si>
  <si>
    <t>Residencial Olimpo 99 viviendas</t>
  </si>
  <si>
    <t>Edificio Babel</t>
  </si>
  <si>
    <t>Izalco Spain, SL</t>
  </si>
  <si>
    <t>CONTRATISTA /
DIVERSOS PARQUETES</t>
  </si>
  <si>
    <t xml:space="preserve">CAGE – Centro Alternativo Gestión Emergencias 
</t>
  </si>
  <si>
    <t>Iberdrola Nuclear</t>
  </si>
  <si>
    <t>Almaraz</t>
  </si>
  <si>
    <t>Plataforma logística ‘Sogaris’</t>
  </si>
  <si>
    <t xml:space="preserve">Plataforma logística NYK </t>
  </si>
  <si>
    <t>Parque Logístico</t>
  </si>
  <si>
    <t>Marsella - Francia</t>
  </si>
  <si>
    <t>S Q Fallavier-Francia</t>
  </si>
  <si>
    <t>Porte-Lès-Valence  - Francia</t>
  </si>
  <si>
    <t xml:space="preserve">Sogaris
</t>
  </si>
  <si>
    <t>NYK</t>
  </si>
  <si>
    <t xml:space="preserve">HTVS
</t>
  </si>
  <si>
    <t xml:space="preserve">I.T.V. OCA en Alcorcón
</t>
  </si>
  <si>
    <t xml:space="preserve">OCA ITV
</t>
  </si>
  <si>
    <t>Factoria Eurocopter</t>
  </si>
  <si>
    <t>Airbus</t>
  </si>
  <si>
    <t>CONTRATISTA GENERAL ÚNICO
Referencia Grupo Eiffage</t>
  </si>
  <si>
    <t>CONTRATISTA GENERAL ÚNICO 
Referencia Grupo Eiffage</t>
  </si>
  <si>
    <t>Complexe hôtelier**** Roissy Pôle</t>
  </si>
  <si>
    <t>Hôtel Dieu Intercontinental*****</t>
  </si>
  <si>
    <t>Hilton Garden Inn ****</t>
  </si>
  <si>
    <t>Hôtel Golf Naxhelet ****</t>
  </si>
  <si>
    <t>Hôtel Best Western ****</t>
  </si>
  <si>
    <t>Hôtel W *****</t>
  </si>
  <si>
    <t xml:space="preserve">Hôtel Dieu   5*  
</t>
  </si>
  <si>
    <t>Tremblay_ Francia</t>
  </si>
  <si>
    <t>Marseille_ Francia</t>
  </si>
  <si>
    <t>Cracovie_ Polonia</t>
  </si>
  <si>
    <t>Wanze_ Bélgica</t>
  </si>
  <si>
    <t>Eiffage Immobilier</t>
  </si>
  <si>
    <t xml:space="preserve">Cogedim
</t>
  </si>
  <si>
    <t xml:space="preserve">Cogedim
Cogedim
Cogedim
</t>
  </si>
  <si>
    <t xml:space="preserve">Kraków Airport Hotel </t>
  </si>
  <si>
    <t xml:space="preserve">SPRL Naxhelet
</t>
  </si>
  <si>
    <t xml:space="preserve">Eiffage Immobilier
</t>
  </si>
  <si>
    <t xml:space="preserve">Méridia
</t>
  </si>
  <si>
    <t>Hospices civils de Lyon (HCL)</t>
  </si>
  <si>
    <t>Vélizy_ Francia</t>
  </si>
  <si>
    <t>Paris - Opéra_ Francia</t>
  </si>
  <si>
    <t>Lyon_ Francia</t>
  </si>
  <si>
    <t>Poznanian</t>
  </si>
  <si>
    <t>Centro Comercial Lacina</t>
  </si>
  <si>
    <t>Centro Comercial Jaude</t>
  </si>
  <si>
    <t>Klépierre</t>
  </si>
  <si>
    <t>McArthur Glen</t>
  </si>
  <si>
    <t>Clermont Ferrand - Francia</t>
  </si>
  <si>
    <t>Poznan - Polonia</t>
  </si>
  <si>
    <t>Centro Comercial Val d'Europe</t>
  </si>
  <si>
    <t>Marne La Vallée - Francia</t>
  </si>
  <si>
    <t>TITULACIÓN SUPERIOR</t>
  </si>
  <si>
    <t>TITULACIÓN GRADO MEDIO</t>
  </si>
  <si>
    <t>TÉCNICOS NO UNIVERSITARIOS</t>
  </si>
  <si>
    <t>PERSONAL</t>
  </si>
  <si>
    <t>OTROS</t>
  </si>
  <si>
    <t>Urbanización</t>
  </si>
  <si>
    <t>Core&amp;Shell_ Desing&amp;Build</t>
  </si>
  <si>
    <t>Instalaciones Mecanicas + Eléctricas_ Desing&amp;Build</t>
  </si>
  <si>
    <t>Centro Comercial Provence</t>
  </si>
  <si>
    <t>Miramas - Francia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</si>
</sst>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quot;€&quot;"/>
    <numFmt numFmtId="165" formatCode="dd\-mm\-yy;@"/>
  </numFmts>
  <fonts count="40"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
      <sz val="9"/>
      <color theme="1"/>
      <name val="Arial Narrow"/>
      <family val="2"/>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65">
    <border>
      <left/>
      <right/>
      <top/>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8168889431442"/>
      </left>
      <right/>
      <top/>
      <bottom style="medium">
        <color theme="4" tint="0.79998168889431442"/>
      </bottom>
      <diagonal/>
    </border>
    <border>
      <left style="thin">
        <color theme="8" tint="0.79995117038483843"/>
      </left>
      <right/>
      <top style="medium">
        <color theme="4" tint="0.79998168889431442"/>
      </top>
      <bottom style="medium">
        <color theme="4" tint="0.7999816888943144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8" tint="0.79992065187536243"/>
      </left>
      <right style="medium">
        <color theme="8" tint="0.79989013336588644"/>
      </right>
      <top style="medium">
        <color theme="8" tint="0.79989013336588644"/>
      </top>
      <bottom style="medium">
        <color theme="8" tint="0.79989013336588644"/>
      </bottom>
      <diagonal/>
    </border>
    <border>
      <left style="medium">
        <color theme="4" tint="0.79995117038483843"/>
      </left>
      <right style="medium">
        <color theme="8" tint="0.799920651875362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style="medium">
        <color theme="8" tint="0.79992065187536243"/>
      </right>
      <top style="medium">
        <color theme="4" tint="0.79995117038483843"/>
      </top>
      <bottom style="medium">
        <color theme="4" tint="0.79995117038483843"/>
      </bottom>
      <diagonal/>
    </border>
    <border>
      <left style="medium">
        <color theme="8" tint="0.79992065187536243"/>
      </left>
      <right/>
      <top style="medium">
        <color theme="4" tint="0.79998168889431442"/>
      </top>
      <bottom style="medium">
        <color theme="4" tint="0.79998168889431442"/>
      </bottom>
      <diagonal/>
    </border>
    <border>
      <left style="medium">
        <color theme="8" tint="0.79992065187536243"/>
      </left>
      <right/>
      <top style="medium">
        <color theme="4" tint="0.79995117038483843"/>
      </top>
      <bottom style="medium">
        <color theme="4" tint="0.79998168889431442"/>
      </bottom>
      <diagonal/>
    </border>
    <border>
      <left/>
      <right style="thin">
        <color theme="8" tint="0.79998168889431442"/>
      </right>
      <top style="medium">
        <color theme="4" tint="0.79995117038483843"/>
      </top>
      <bottom style="medium">
        <color theme="4" tint="0.79998168889431442"/>
      </bottom>
      <diagonal/>
    </border>
    <border>
      <left style="medium">
        <color theme="8" tint="0.79992065187536243"/>
      </left>
      <right/>
      <top style="medium">
        <color theme="4" tint="0.79998168889431442"/>
      </top>
      <bottom style="medium">
        <color theme="4" tint="0.79995117038483843"/>
      </bottom>
      <diagonal/>
    </border>
    <border>
      <left/>
      <right style="thin">
        <color theme="8" tint="0.79998168889431442"/>
      </right>
      <top style="medium">
        <color theme="4" tint="0.79998168889431442"/>
      </top>
      <bottom style="medium">
        <color theme="4" tint="0.79995117038483843"/>
      </bottom>
      <diagonal/>
    </border>
  </borders>
  <cellStyleXfs count="1">
    <xf numFmtId="0" fontId="0" fillId="0" borderId="0"/>
  </cellStyleXfs>
  <cellXfs count="206">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17" xfId="0" applyFont="1" applyFill="1" applyBorder="1" applyAlignment="1" applyProtection="1">
      <alignment horizontal="center" vertical="center" wrapText="1"/>
      <protection locked="0"/>
    </xf>
    <xf numFmtId="0" fontId="24" fillId="0" borderId="18"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0" xfId="0" applyNumberFormat="1" applyFont="1" applyFill="1" applyBorder="1" applyAlignment="1" applyProtection="1">
      <alignment horizontal="center" vertical="center" wrapText="1"/>
      <protection locked="0"/>
    </xf>
    <xf numFmtId="4" fontId="30" fillId="2" borderId="22" xfId="0" applyNumberFormat="1" applyFont="1" applyFill="1" applyBorder="1" applyAlignment="1" applyProtection="1">
      <alignment horizontal="right" vertical="top" wrapText="1"/>
    </xf>
    <xf numFmtId="0" fontId="30" fillId="2" borderId="22" xfId="0" applyFont="1" applyFill="1" applyBorder="1" applyAlignment="1" applyProtection="1">
      <alignment horizontal="right" vertical="top" wrapText="1"/>
    </xf>
    <xf numFmtId="0" fontId="30" fillId="2" borderId="23"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4" xfId="0" applyFont="1" applyBorder="1" applyAlignment="1" applyProtection="1">
      <alignment horizontal="left" vertical="top" wrapText="1"/>
      <protection locked="0"/>
    </xf>
    <xf numFmtId="0" fontId="34" fillId="0" borderId="25" xfId="0" applyFont="1" applyBorder="1" applyAlignment="1" applyProtection="1">
      <alignment horizontal="center" vertical="top" wrapText="1"/>
      <protection locked="0"/>
    </xf>
    <xf numFmtId="164" fontId="34" fillId="0" borderId="28" xfId="0" applyNumberFormat="1" applyFont="1" applyBorder="1" applyAlignment="1" applyProtection="1">
      <alignment horizontal="center" vertical="top" wrapText="1"/>
      <protection locked="0"/>
    </xf>
    <xf numFmtId="0" fontId="34" fillId="0" borderId="30" xfId="0" applyFont="1" applyBorder="1" applyAlignment="1" applyProtection="1">
      <alignment horizontal="left" vertical="top" wrapText="1"/>
      <protection locked="0"/>
    </xf>
    <xf numFmtId="0" fontId="34" fillId="0" borderId="31" xfId="0" applyFont="1" applyBorder="1" applyAlignment="1" applyProtection="1">
      <alignment horizontal="center" vertical="top" wrapText="1"/>
      <protection locked="0"/>
    </xf>
    <xf numFmtId="164" fontId="34" fillId="0" borderId="34" xfId="0" applyNumberFormat="1" applyFont="1" applyBorder="1" applyAlignment="1" applyProtection="1">
      <alignment horizontal="center" vertical="top" wrapText="1"/>
      <protection locked="0"/>
    </xf>
    <xf numFmtId="0" fontId="34" fillId="0" borderId="41" xfId="0" applyFont="1" applyBorder="1" applyAlignment="1" applyProtection="1">
      <alignment horizontal="left" vertical="top" wrapText="1"/>
      <protection locked="0"/>
    </xf>
    <xf numFmtId="0" fontId="34" fillId="0" borderId="36" xfId="0" applyFont="1" applyBorder="1" applyAlignment="1" applyProtection="1">
      <alignment horizontal="center" vertical="top" wrapText="1"/>
      <protection locked="0"/>
    </xf>
    <xf numFmtId="164" fontId="34" fillId="0" borderId="42"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6" xfId="0" applyFont="1" applyBorder="1" applyAlignment="1" applyProtection="1">
      <alignment horizontal="left" vertical="top" wrapText="1"/>
      <protection locked="0"/>
    </xf>
    <xf numFmtId="0" fontId="34" fillId="0" borderId="37" xfId="0" applyFont="1" applyBorder="1" applyAlignment="1" applyProtection="1">
      <alignment horizontal="center" vertical="top" wrapText="1"/>
      <protection locked="0"/>
    </xf>
    <xf numFmtId="0" fontId="34" fillId="0" borderId="38" xfId="0" applyFont="1" applyBorder="1" applyAlignment="1" applyProtection="1">
      <alignment horizontal="center" vertical="top" wrapText="1"/>
      <protection locked="0"/>
    </xf>
    <xf numFmtId="0" fontId="34" fillId="0" borderId="39" xfId="0" applyFont="1" applyBorder="1" applyAlignment="1" applyProtection="1">
      <alignment horizontal="left" vertical="top" wrapText="1"/>
      <protection locked="0"/>
    </xf>
    <xf numFmtId="0" fontId="34" fillId="0" borderId="32"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29"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0" xfId="0" applyFont="1" applyBorder="1" applyAlignment="1" applyProtection="1">
      <alignment horizontal="left" vertical="top" wrapText="1"/>
      <protection locked="0"/>
    </xf>
    <xf numFmtId="0" fontId="0" fillId="0" borderId="0" xfId="0"/>
    <xf numFmtId="0" fontId="34" fillId="0" borderId="30" xfId="0" applyFont="1" applyBorder="1" applyAlignment="1" applyProtection="1">
      <alignment horizontal="left" vertical="top" wrapText="1"/>
      <protection locked="0"/>
    </xf>
    <xf numFmtId="0" fontId="34" fillId="0" borderId="24" xfId="0" applyFont="1" applyBorder="1" applyAlignment="1" applyProtection="1">
      <alignment horizontal="left" vertical="top" wrapText="1"/>
      <protection locked="0"/>
    </xf>
    <xf numFmtId="0" fontId="2" fillId="0" borderId="3" xfId="0" quotePrefix="1" applyFont="1" applyBorder="1" applyAlignment="1" applyProtection="1">
      <alignment horizontal="left" vertical="top" wrapText="1"/>
      <protection locked="0"/>
    </xf>
    <xf numFmtId="0" fontId="0" fillId="0" borderId="0" xfId="0" quotePrefix="1" applyAlignment="1" applyProtection="1">
      <alignment vertical="top"/>
      <protection locked="0"/>
    </xf>
    <xf numFmtId="0" fontId="34" fillId="0" borderId="30" xfId="0" applyFont="1" applyBorder="1" applyAlignment="1" applyProtection="1">
      <alignment horizontal="left" vertical="top" wrapText="1"/>
      <protection locked="0"/>
    </xf>
    <xf numFmtId="3" fontId="3" fillId="0" borderId="1" xfId="0" applyNumberFormat="1" applyFont="1" applyFill="1" applyBorder="1" applyAlignment="1" applyProtection="1">
      <alignment horizontal="center" vertical="center"/>
      <protection locked="0"/>
    </xf>
    <xf numFmtId="3" fontId="3" fillId="0" borderId="1" xfId="0" applyNumberFormat="1" applyFont="1" applyFill="1" applyBorder="1" applyAlignment="1" applyProtection="1">
      <alignment horizontal="center" vertical="center" wrapText="1"/>
      <protection locked="0"/>
    </xf>
    <xf numFmtId="0" fontId="34" fillId="0" borderId="55" xfId="0" quotePrefix="1" applyFont="1" applyFill="1" applyBorder="1" applyAlignment="1" applyProtection="1">
      <alignment horizontal="left" vertical="center" wrapText="1"/>
      <protection locked="0"/>
    </xf>
    <xf numFmtId="164" fontId="39" fillId="0" borderId="56" xfId="0" applyNumberFormat="1" applyFont="1" applyFill="1" applyBorder="1" applyAlignment="1" applyProtection="1">
      <alignment horizontal="center" vertical="center" wrapText="1"/>
      <protection locked="0"/>
    </xf>
    <xf numFmtId="0" fontId="39" fillId="0" borderId="55" xfId="0" applyFont="1" applyFill="1" applyBorder="1" applyAlignment="1" applyProtection="1">
      <alignment horizontal="left" vertical="center" wrapText="1"/>
      <protection locked="0"/>
    </xf>
    <xf numFmtId="1" fontId="25" fillId="0" borderId="1" xfId="0" applyNumberFormat="1" applyFont="1" applyFill="1" applyBorder="1" applyAlignment="1" applyProtection="1">
      <alignment horizontal="center" vertical="center" wrapText="1"/>
      <protection locked="0"/>
    </xf>
    <xf numFmtId="0" fontId="2" fillId="0" borderId="4" xfId="0" applyFont="1" applyFill="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0" fontId="8" fillId="0" borderId="0" xfId="0" applyFont="1" applyBorder="1" applyAlignment="1" applyProtection="1">
      <alignment horizontal="left" vertical="top" wrapText="1"/>
      <protection locked="0"/>
    </xf>
    <xf numFmtId="49" fontId="2" fillId="0" borderId="0" xfId="0" applyNumberFormat="1" applyFont="1" applyFill="1" applyBorder="1" applyAlignment="1" applyProtection="1">
      <alignment horizontal="left" vertical="center" wrapText="1"/>
      <protection locked="0"/>
    </xf>
    <xf numFmtId="49" fontId="0" fillId="0" borderId="0" xfId="0" applyNumberFormat="1" applyFill="1" applyAlignment="1" applyProtection="1">
      <alignment vertical="center" wrapText="1"/>
      <protection locked="0"/>
    </xf>
    <xf numFmtId="0" fontId="2" fillId="2" borderId="0" xfId="0" applyFont="1" applyFill="1" applyBorder="1" applyAlignment="1" applyProtection="1">
      <alignment vertical="top" wrapText="1"/>
    </xf>
    <xf numFmtId="0" fontId="2" fillId="0" borderId="3" xfId="0" applyFont="1" applyFill="1" applyBorder="1" applyAlignment="1" applyProtection="1">
      <alignment horizontal="left" vertical="center" wrapText="1"/>
      <protection locked="0"/>
    </xf>
    <xf numFmtId="0" fontId="12" fillId="2" borderId="0" xfId="0" applyFont="1" applyFill="1" applyBorder="1" applyAlignment="1" applyProtection="1">
      <alignment horizontal="left" vertical="top" wrapText="1"/>
    </xf>
    <xf numFmtId="0" fontId="3" fillId="0" borderId="3"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0" fillId="0" borderId="0" xfId="0"/>
    <xf numFmtId="0" fontId="2" fillId="0" borderId="3" xfId="0" applyFont="1" applyBorder="1" applyAlignment="1" applyProtection="1">
      <alignment horizontal="left"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3" fillId="0" borderId="5"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3" fillId="0" borderId="2" xfId="0" applyFont="1" applyFill="1" applyBorder="1" applyAlignment="1" applyProtection="1">
      <alignment horizontal="left" vertical="center"/>
      <protection locked="0"/>
    </xf>
    <xf numFmtId="0" fontId="3" fillId="0" borderId="53" xfId="0" applyFont="1" applyFill="1" applyBorder="1" applyAlignment="1" applyProtection="1">
      <alignment horizontal="left" vertical="center"/>
      <protection locked="0"/>
    </xf>
    <xf numFmtId="0" fontId="3" fillId="0" borderId="54" xfId="0" applyFont="1" applyFill="1" applyBorder="1" applyAlignment="1" applyProtection="1">
      <alignment horizontal="left" vertical="center"/>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25" fillId="2"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18" xfId="0" applyFont="1" applyFill="1" applyBorder="1" applyAlignment="1" applyProtection="1">
      <alignment horizontal="left" vertical="top" wrapText="1"/>
      <protection locked="0"/>
    </xf>
    <xf numFmtId="0" fontId="24" fillId="0" borderId="19"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10"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28" fillId="2" borderId="0" xfId="0" applyFont="1" applyFill="1" applyBorder="1" applyAlignment="1" applyProtection="1">
      <alignment horizontal="center" vertical="top" wrapText="1"/>
    </xf>
    <xf numFmtId="0" fontId="21" fillId="10" borderId="0" xfId="0" applyFont="1" applyFill="1" applyBorder="1" applyAlignment="1" applyProtection="1">
      <alignment horizontal="left" vertical="top" wrapText="1"/>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34" fillId="0" borderId="25" xfId="0" applyFont="1" applyBorder="1" applyAlignment="1" applyProtection="1">
      <alignment horizontal="left" vertical="top" wrapText="1"/>
      <protection locked="0"/>
    </xf>
    <xf numFmtId="0" fontId="34" fillId="0" borderId="26" xfId="0" applyFont="1" applyBorder="1" applyAlignment="1" applyProtection="1">
      <alignment horizontal="center" vertical="top" wrapText="1"/>
      <protection locked="0"/>
    </xf>
    <xf numFmtId="0" fontId="34" fillId="0" borderId="27" xfId="0" applyFont="1" applyBorder="1" applyAlignment="1" applyProtection="1">
      <alignment horizontal="center" vertical="top" wrapText="1"/>
      <protection locked="0"/>
    </xf>
    <xf numFmtId="0" fontId="34" fillId="0" borderId="29" xfId="0" applyFont="1" applyBorder="1" applyAlignment="1" applyProtection="1">
      <alignment horizontal="left" vertical="top" wrapText="1"/>
      <protection locked="0"/>
    </xf>
    <xf numFmtId="0" fontId="30" fillId="2" borderId="21" xfId="0" applyFont="1" applyFill="1" applyBorder="1" applyAlignment="1" applyProtection="1">
      <alignment horizontal="center" vertical="top" wrapText="1"/>
    </xf>
    <xf numFmtId="0" fontId="30" fillId="2" borderId="22"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34" fillId="0" borderId="31" xfId="0" applyFont="1" applyBorder="1" applyAlignment="1" applyProtection="1">
      <alignment horizontal="left" vertical="top" wrapText="1"/>
      <protection locked="0"/>
    </xf>
    <xf numFmtId="0" fontId="34" fillId="0" borderId="32"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35" xfId="0" applyFont="1" applyBorder="1" applyAlignment="1" applyProtection="1">
      <alignment horizontal="left" vertical="top" wrapText="1"/>
      <protection locked="0"/>
    </xf>
    <xf numFmtId="0" fontId="34" fillId="0" borderId="36" xfId="0" applyFont="1" applyBorder="1" applyAlignment="1" applyProtection="1">
      <alignment horizontal="left" vertical="top" wrapText="1"/>
      <protection locked="0"/>
    </xf>
    <xf numFmtId="0" fontId="34" fillId="0" borderId="37" xfId="0" applyFont="1" applyBorder="1" applyAlignment="1" applyProtection="1">
      <alignment horizontal="center" vertical="top" wrapText="1"/>
      <protection locked="0"/>
    </xf>
    <xf numFmtId="0" fontId="34" fillId="0" borderId="38" xfId="0" applyFont="1" applyBorder="1" applyAlignment="1" applyProtection="1">
      <alignment horizontal="center" vertical="top" wrapText="1"/>
      <protection locked="0"/>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4" fillId="0" borderId="43" xfId="0" applyFont="1" applyBorder="1" applyAlignment="1" applyProtection="1">
      <alignment horizontal="left" vertical="top" wrapText="1"/>
      <protection locked="0"/>
    </xf>
    <xf numFmtId="0" fontId="34" fillId="0" borderId="24" xfId="0" applyFont="1" applyBorder="1" applyAlignment="1" applyProtection="1">
      <alignment horizontal="left" vertical="top" wrapText="1"/>
      <protection locked="0"/>
    </xf>
    <xf numFmtId="0" fontId="34" fillId="0" borderId="43" xfId="0" quotePrefix="1" applyFont="1" applyBorder="1" applyAlignment="1" applyProtection="1">
      <alignment horizontal="left" vertical="top" wrapText="1"/>
      <protection locked="0"/>
    </xf>
    <xf numFmtId="0" fontId="34" fillId="0" borderId="44" xfId="0" applyFont="1" applyBorder="1" applyAlignment="1" applyProtection="1">
      <alignment horizontal="left" vertical="top" wrapText="1"/>
      <protection locked="0"/>
    </xf>
    <xf numFmtId="0" fontId="34" fillId="0" borderId="40" xfId="0" applyFont="1" applyBorder="1" applyAlignment="1" applyProtection="1">
      <alignment horizontal="left" vertical="top" wrapText="1"/>
      <protection locked="0"/>
    </xf>
    <xf numFmtId="0" fontId="34" fillId="0" borderId="30" xfId="0" applyFont="1" applyBorder="1" applyAlignment="1" applyProtection="1">
      <alignment horizontal="left" vertical="top" wrapText="1"/>
      <protection locked="0"/>
    </xf>
    <xf numFmtId="0" fontId="39" fillId="0" borderId="55" xfId="0" quotePrefix="1" applyFont="1" applyFill="1" applyBorder="1" applyAlignment="1" applyProtection="1">
      <alignment horizontal="left" vertical="top" wrapText="1"/>
      <protection locked="0"/>
    </xf>
    <xf numFmtId="0" fontId="39" fillId="0" borderId="57" xfId="0" applyFont="1" applyFill="1" applyBorder="1" applyAlignment="1" applyProtection="1">
      <alignment horizontal="left" vertical="top" wrapText="1"/>
      <protection locked="0"/>
    </xf>
    <xf numFmtId="0" fontId="34" fillId="0" borderId="61" xfId="0" applyFont="1" applyBorder="1" applyAlignment="1" applyProtection="1">
      <alignment horizontal="center" vertical="top" wrapText="1"/>
      <protection locked="0"/>
    </xf>
    <xf numFmtId="0" fontId="34" fillId="0" borderId="62" xfId="0" applyFont="1" applyBorder="1" applyAlignment="1" applyProtection="1">
      <alignment horizontal="center" vertical="top" wrapText="1"/>
      <protection locked="0"/>
    </xf>
    <xf numFmtId="0" fontId="34" fillId="0" borderId="60" xfId="0" applyFont="1" applyBorder="1" applyAlignment="1" applyProtection="1">
      <alignment horizontal="center" vertical="top" wrapText="1"/>
      <protection locked="0"/>
    </xf>
    <xf numFmtId="0" fontId="39" fillId="0" borderId="58" xfId="0" quotePrefix="1" applyFont="1" applyFill="1" applyBorder="1" applyAlignment="1" applyProtection="1">
      <alignment horizontal="left" vertical="top" wrapText="1"/>
      <protection locked="0"/>
    </xf>
    <xf numFmtId="0" fontId="39" fillId="0" borderId="59" xfId="0" quotePrefix="1" applyFont="1" applyFill="1" applyBorder="1" applyAlignment="1" applyProtection="1">
      <alignment horizontal="left" vertical="top" wrapText="1"/>
      <protection locked="0"/>
    </xf>
    <xf numFmtId="0" fontId="34" fillId="0" borderId="63" xfId="0" applyFont="1" applyBorder="1" applyAlignment="1" applyProtection="1">
      <alignment horizontal="center" vertical="top" wrapText="1"/>
      <protection locked="0"/>
    </xf>
    <xf numFmtId="0" fontId="34" fillId="0" borderId="64" xfId="0" applyFont="1" applyBorder="1" applyAlignment="1" applyProtection="1">
      <alignment horizontal="center" vertical="top" wrapText="1"/>
      <protection locked="0"/>
    </xf>
    <xf numFmtId="0" fontId="35" fillId="0" borderId="45" xfId="0" applyFont="1" applyFill="1" applyBorder="1" applyAlignment="1" applyProtection="1">
      <alignment horizontal="justify" wrapText="1"/>
    </xf>
    <xf numFmtId="0" fontId="36" fillId="0" borderId="46" xfId="0" applyFont="1" applyFill="1" applyBorder="1" applyAlignment="1" applyProtection="1">
      <alignment wrapText="1"/>
    </xf>
    <xf numFmtId="0" fontId="36" fillId="0" borderId="47" xfId="0" applyFont="1" applyFill="1" applyBorder="1" applyAlignment="1" applyProtection="1">
      <alignment wrapText="1"/>
    </xf>
    <xf numFmtId="0" fontId="35" fillId="0" borderId="48"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49" xfId="0" applyFont="1" applyFill="1" applyBorder="1" applyAlignment="1" applyProtection="1">
      <alignment wrapText="1"/>
    </xf>
    <xf numFmtId="0" fontId="35" fillId="0" borderId="50" xfId="0" applyFont="1" applyFill="1" applyBorder="1" applyAlignment="1" applyProtection="1">
      <alignment horizontal="justify" wrapText="1"/>
    </xf>
    <xf numFmtId="0" fontId="36" fillId="0" borderId="51" xfId="0" applyFont="1" applyFill="1" applyBorder="1" applyAlignment="1" applyProtection="1">
      <alignment wrapText="1"/>
    </xf>
    <xf numFmtId="0" fontId="36" fillId="0" borderId="52" xfId="0"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1473334</xdr:colOff>
      <xdr:row>1</xdr:row>
      <xdr:rowOff>619126</xdr:rowOff>
    </xdr:to>
    <xdr:pic>
      <xdr:nvPicPr>
        <xdr:cNvPr id="2" name="5 Imagen" descr="Nueva imagen.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3" name="5 Imagen" descr="Nueva imagen.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4" name="5 Imagen" descr="Nueva imagen.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379"/>
  <sheetViews>
    <sheetView showGridLines="0" tabSelected="1" zoomScale="90" zoomScaleNormal="90" workbookViewId="0">
      <selection activeCell="M27" sqref="M27"/>
    </sheetView>
  </sheetViews>
  <sheetFormatPr baseColWidth="10" defaultColWidth="11.42578125" defaultRowHeight="15" x14ac:dyDescent="0.25"/>
  <cols>
    <col min="1" max="1" width="1.28515625" style="5" customWidth="1"/>
    <col min="2" max="2" width="23.140625" style="88" customWidth="1"/>
    <col min="3" max="3" width="10.140625" style="5" customWidth="1"/>
    <col min="4" max="4" width="11" style="5" customWidth="1"/>
    <col min="5" max="7" width="12.7109375" style="5" customWidth="1"/>
    <col min="8" max="8" width="14" style="5" customWidth="1"/>
    <col min="9" max="9" width="10.28515625" style="5" customWidth="1"/>
    <col min="10" max="10" width="30.140625" style="5" customWidth="1"/>
    <col min="11" max="11" width="0.85546875" style="5" customWidth="1"/>
    <col min="12" max="13" width="11.42578125" style="5"/>
    <col min="14" max="14" width="11.42578125" style="5" hidden="1" customWidth="1"/>
    <col min="15" max="19" width="11.42578125" style="5"/>
    <col min="20" max="24" width="0" style="5" hidden="1" customWidth="1"/>
    <col min="25" max="25" width="78.85546875" style="5" hidden="1" customWidth="1"/>
    <col min="26" max="26" width="69.42578125" style="5" hidden="1" customWidth="1"/>
    <col min="27" max="27" width="98" style="5" hidden="1" customWidth="1"/>
    <col min="28" max="16384" width="11.42578125" style="5"/>
  </cols>
  <sheetData>
    <row r="1" spans="1:27" ht="6.75" customHeight="1" x14ac:dyDescent="0.25">
      <c r="A1" s="1"/>
      <c r="B1" s="2"/>
      <c r="C1" s="3"/>
      <c r="D1" s="3"/>
      <c r="E1" s="3"/>
      <c r="F1" s="3"/>
      <c r="G1" s="3"/>
      <c r="H1" s="4"/>
      <c r="I1" s="3"/>
      <c r="J1" s="3"/>
      <c r="K1" s="1"/>
    </row>
    <row r="2" spans="1:27" ht="72" customHeight="1" x14ac:dyDescent="0.25">
      <c r="A2" s="1"/>
      <c r="B2" s="106" t="s">
        <v>0</v>
      </c>
      <c r="C2" s="107"/>
      <c r="D2" s="107"/>
      <c r="E2" s="107"/>
      <c r="F2" s="107"/>
      <c r="G2" s="107"/>
      <c r="H2" s="107"/>
      <c r="I2" s="107"/>
      <c r="J2" s="107"/>
      <c r="K2" s="1"/>
      <c r="X2" s="5" t="s">
        <v>1</v>
      </c>
      <c r="Z2" s="5" t="s">
        <v>2</v>
      </c>
    </row>
    <row r="3" spans="1:27" ht="7.5" customHeight="1" x14ac:dyDescent="0.2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25">
      <c r="A4" s="1"/>
      <c r="B4" s="108" t="s">
        <v>6</v>
      </c>
      <c r="C4" s="108"/>
      <c r="D4" s="108"/>
      <c r="E4" s="108"/>
      <c r="F4" s="108"/>
      <c r="G4" s="108"/>
      <c r="H4" s="108"/>
      <c r="I4" s="108"/>
      <c r="J4" s="8" t="s">
        <v>7</v>
      </c>
      <c r="K4" s="1"/>
      <c r="X4" s="6" t="s">
        <v>8</v>
      </c>
      <c r="Y4" s="5" t="str">
        <f t="shared" si="0"/>
        <v>OTROS_CONSULTORES_Y_ASESORES</v>
      </c>
      <c r="Z4" s="6" t="s">
        <v>9</v>
      </c>
      <c r="AA4" s="7" t="s">
        <v>10</v>
      </c>
    </row>
    <row r="5" spans="1:27" ht="12.75" customHeight="1" x14ac:dyDescent="0.2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25">
      <c r="A6" s="1"/>
      <c r="B6" s="9" t="s">
        <v>14</v>
      </c>
      <c r="C6" s="109" t="s">
        <v>409</v>
      </c>
      <c r="D6" s="109"/>
      <c r="E6" s="109"/>
      <c r="F6" s="109"/>
      <c r="G6" s="109"/>
      <c r="H6" s="109"/>
      <c r="I6" s="109"/>
      <c r="J6" s="109"/>
      <c r="K6" s="1"/>
      <c r="N6" s="5" t="str">
        <f>+C6</f>
        <v>CONSCYTEC - EIFFAGE E</v>
      </c>
      <c r="Y6" s="5" t="str">
        <f t="shared" si="0"/>
        <v>SUMINISTRO_MATERIALES_PARA_ACABADOS</v>
      </c>
      <c r="Z6" s="10" t="s">
        <v>15</v>
      </c>
      <c r="AA6" s="7" t="s">
        <v>16</v>
      </c>
    </row>
    <row r="7" spans="1:27" ht="4.5" customHeight="1" x14ac:dyDescent="0.25">
      <c r="A7" s="1"/>
      <c r="B7" s="2"/>
      <c r="C7" s="3"/>
      <c r="D7" s="3"/>
      <c r="E7" s="3"/>
      <c r="F7" s="3"/>
      <c r="G7" s="3"/>
      <c r="H7" s="4"/>
      <c r="I7" s="3"/>
      <c r="J7" s="3"/>
      <c r="K7" s="1"/>
      <c r="Y7" s="5" t="str">
        <f t="shared" si="0"/>
        <v>SUMINISTRO_AISLAMIENTOS_Y_TRATAMIENTOS_ESPECÍFICOS</v>
      </c>
      <c r="Z7" s="6" t="s">
        <v>17</v>
      </c>
      <c r="AA7" s="7" t="s">
        <v>18</v>
      </c>
    </row>
    <row r="8" spans="1:27" ht="19.5" customHeight="1" x14ac:dyDescent="0.25">
      <c r="A8" s="1"/>
      <c r="B8" s="11" t="s">
        <v>19</v>
      </c>
      <c r="C8" s="110" t="s">
        <v>410</v>
      </c>
      <c r="D8" s="111"/>
      <c r="E8" s="3"/>
      <c r="F8" s="3"/>
      <c r="G8" s="3"/>
      <c r="H8" s="1"/>
      <c r="I8" s="112" t="s">
        <v>20</v>
      </c>
      <c r="J8" s="112"/>
      <c r="K8" s="1"/>
      <c r="Y8" s="5" t="str">
        <f t="shared" si="0"/>
        <v>SUMINISTRO_MATERIALES_PARA_INSTALACIONES_ELECTROMECÁNICAS</v>
      </c>
      <c r="Z8" s="6" t="s">
        <v>21</v>
      </c>
      <c r="AA8" s="7" t="s">
        <v>22</v>
      </c>
    </row>
    <row r="9" spans="1:27" ht="13.5" customHeight="1" x14ac:dyDescent="0.25">
      <c r="A9" s="1"/>
      <c r="B9" s="2"/>
      <c r="C9" s="3"/>
      <c r="D9" s="3"/>
      <c r="E9" s="3"/>
      <c r="F9" s="3"/>
      <c r="G9" s="3"/>
      <c r="H9" s="4"/>
      <c r="I9" s="3"/>
      <c r="J9" s="3"/>
      <c r="K9" s="1"/>
      <c r="U9" s="5" t="s">
        <v>23</v>
      </c>
      <c r="Y9" s="5" t="str">
        <f t="shared" si="0"/>
        <v>CONTRATISTA_GENERAL_OBRA_CIVIL</v>
      </c>
      <c r="Z9" s="6" t="s">
        <v>24</v>
      </c>
      <c r="AA9" s="7" t="s">
        <v>25</v>
      </c>
    </row>
    <row r="10" spans="1:27" ht="19.5" customHeight="1" x14ac:dyDescent="0.25">
      <c r="A10" s="1"/>
      <c r="B10" s="12" t="s">
        <v>26</v>
      </c>
      <c r="C10" s="113" t="s">
        <v>416</v>
      </c>
      <c r="D10" s="113"/>
      <c r="E10" s="113"/>
      <c r="F10" s="113"/>
      <c r="G10" s="113"/>
      <c r="H10" s="113"/>
      <c r="I10" s="13" t="s">
        <v>27</v>
      </c>
      <c r="J10" s="94" t="s">
        <v>412</v>
      </c>
      <c r="K10" s="1"/>
      <c r="Y10" s="5" t="s">
        <v>28</v>
      </c>
      <c r="Z10" s="6" t="s">
        <v>29</v>
      </c>
      <c r="AA10" s="7" t="s">
        <v>30</v>
      </c>
    </row>
    <row r="11" spans="1:27" ht="19.5" customHeight="1" x14ac:dyDescent="0.25">
      <c r="A11" s="1"/>
      <c r="B11" s="12" t="s">
        <v>31</v>
      </c>
      <c r="C11" s="103" t="s">
        <v>415</v>
      </c>
      <c r="D11" s="103"/>
      <c r="E11" s="103"/>
      <c r="F11" s="103"/>
      <c r="G11" s="103"/>
      <c r="H11" s="103"/>
      <c r="I11" s="13" t="s">
        <v>32</v>
      </c>
      <c r="J11" s="15"/>
      <c r="K11" s="1"/>
      <c r="Y11" s="5" t="str">
        <f>+SUBSTITUTE(Z11," ","_")</f>
        <v>CONTRATISTA_GENERAL_INSTALACIONES_ELECTROMECÁNICAS</v>
      </c>
      <c r="Z11" s="6" t="s">
        <v>33</v>
      </c>
      <c r="AA11" s="7" t="s">
        <v>34</v>
      </c>
    </row>
    <row r="12" spans="1:27" ht="19.5" customHeight="1" x14ac:dyDescent="0.25">
      <c r="A12" s="1"/>
      <c r="B12" s="13" t="s">
        <v>35</v>
      </c>
      <c r="C12" s="103" t="s">
        <v>415</v>
      </c>
      <c r="D12" s="103"/>
      <c r="E12" s="103"/>
      <c r="F12" s="103"/>
      <c r="G12" s="103"/>
      <c r="H12" s="103"/>
      <c r="I12" s="16" t="s">
        <v>36</v>
      </c>
      <c r="J12" s="17" t="s">
        <v>411</v>
      </c>
      <c r="K12" s="1"/>
      <c r="Y12" s="5" t="s">
        <v>37</v>
      </c>
      <c r="Z12" s="6" t="s">
        <v>38</v>
      </c>
      <c r="AA12" s="7" t="s">
        <v>39</v>
      </c>
    </row>
    <row r="13" spans="1:27" ht="17.25" customHeight="1" x14ac:dyDescent="0.25">
      <c r="A13" s="1"/>
      <c r="B13" s="2"/>
      <c r="C13" s="3"/>
      <c r="D13" s="3"/>
      <c r="E13" s="3"/>
      <c r="F13" s="3"/>
      <c r="G13" s="3"/>
      <c r="H13" s="4"/>
      <c r="I13" s="3"/>
      <c r="J13" s="3"/>
      <c r="K13" s="1"/>
      <c r="Y13" s="5" t="str">
        <f>+SUBSTITUTE(Z13," ","_")</f>
        <v>CONTRATISTA_SEGURIDAD_Y_SALUD</v>
      </c>
      <c r="Z13" s="6" t="s">
        <v>40</v>
      </c>
      <c r="AA13" s="7" t="s">
        <v>41</v>
      </c>
    </row>
    <row r="14" spans="1:27" ht="30" customHeight="1" x14ac:dyDescent="0.25">
      <c r="A14" s="1"/>
      <c r="B14" s="11" t="s">
        <v>42</v>
      </c>
      <c r="C14" s="103" t="s">
        <v>413</v>
      </c>
      <c r="D14" s="103"/>
      <c r="E14" s="103"/>
      <c r="F14" s="103"/>
      <c r="G14" s="103"/>
      <c r="H14" s="103"/>
      <c r="I14" s="13" t="s">
        <v>27</v>
      </c>
      <c r="J14" s="95" t="s">
        <v>412</v>
      </c>
      <c r="K14" s="1"/>
      <c r="Y14" s="5" t="s">
        <v>43</v>
      </c>
      <c r="Z14" s="6" t="s">
        <v>44</v>
      </c>
      <c r="AA14" s="7" t="s">
        <v>45</v>
      </c>
    </row>
    <row r="15" spans="1:27" ht="20.25" customHeight="1" x14ac:dyDescent="0.25">
      <c r="A15" s="1"/>
      <c r="B15" s="13" t="s">
        <v>46</v>
      </c>
      <c r="C15" s="103" t="s">
        <v>421</v>
      </c>
      <c r="D15" s="103"/>
      <c r="E15" s="103"/>
      <c r="F15" s="103"/>
      <c r="G15" s="103"/>
      <c r="H15" s="103"/>
      <c r="I15" s="13" t="s">
        <v>47</v>
      </c>
      <c r="J15" s="18">
        <v>628220991</v>
      </c>
      <c r="K15" s="1"/>
      <c r="Y15" s="5" t="s">
        <v>48</v>
      </c>
      <c r="Z15" s="6" t="s">
        <v>49</v>
      </c>
      <c r="AA15" s="7" t="s">
        <v>50</v>
      </c>
    </row>
    <row r="16" spans="1:27" ht="3" customHeight="1" x14ac:dyDescent="0.25">
      <c r="A16" s="1"/>
      <c r="B16" s="2"/>
      <c r="C16" s="3"/>
      <c r="D16" s="3"/>
      <c r="E16" s="3"/>
      <c r="F16" s="3"/>
      <c r="G16" s="3"/>
      <c r="H16" s="4"/>
      <c r="I16" s="3"/>
      <c r="J16" s="3"/>
      <c r="K16" s="1"/>
      <c r="Y16" s="5" t="s">
        <v>51</v>
      </c>
      <c r="Z16" s="6" t="s">
        <v>52</v>
      </c>
      <c r="AA16" s="7" t="s">
        <v>23</v>
      </c>
    </row>
    <row r="17" spans="1:27" ht="30" customHeight="1" x14ac:dyDescent="0.25">
      <c r="A17" s="1"/>
      <c r="B17" s="11" t="s">
        <v>53</v>
      </c>
      <c r="C17" s="104" t="s">
        <v>424</v>
      </c>
      <c r="D17" s="104"/>
      <c r="E17" s="104"/>
      <c r="F17" s="104"/>
      <c r="G17" s="104"/>
      <c r="H17" s="104"/>
      <c r="I17" s="13" t="s">
        <v>27</v>
      </c>
      <c r="J17" s="95" t="s">
        <v>412</v>
      </c>
      <c r="K17" s="1"/>
      <c r="Y17" s="5" t="s">
        <v>54</v>
      </c>
      <c r="Z17" s="6" t="s">
        <v>55</v>
      </c>
      <c r="AA17" s="7" t="s">
        <v>56</v>
      </c>
    </row>
    <row r="18" spans="1:27" ht="20.25" customHeight="1" x14ac:dyDescent="0.25">
      <c r="A18" s="1"/>
      <c r="B18" s="13" t="s">
        <v>46</v>
      </c>
      <c r="C18" s="105" t="s">
        <v>420</v>
      </c>
      <c r="D18" s="105"/>
      <c r="E18" s="105"/>
      <c r="F18" s="105"/>
      <c r="G18" s="105"/>
      <c r="H18" s="105"/>
      <c r="I18" s="13" t="s">
        <v>47</v>
      </c>
      <c r="J18" s="18"/>
      <c r="K18" s="1"/>
      <c r="Y18" s="5" t="s">
        <v>57</v>
      </c>
      <c r="Z18" s="6" t="s">
        <v>58</v>
      </c>
      <c r="AA18" s="7" t="s">
        <v>59</v>
      </c>
    </row>
    <row r="19" spans="1:27" ht="3" customHeight="1" x14ac:dyDescent="0.25">
      <c r="A19" s="1"/>
      <c r="B19" s="2"/>
      <c r="C19" s="3"/>
      <c r="D19" s="3"/>
      <c r="E19" s="3"/>
      <c r="F19" s="3"/>
      <c r="G19" s="3"/>
      <c r="H19" s="4"/>
      <c r="I19" s="3"/>
      <c r="J19" s="3"/>
      <c r="K19" s="1"/>
      <c r="Y19" s="5" t="s">
        <v>60</v>
      </c>
      <c r="Z19" s="6" t="s">
        <v>61</v>
      </c>
      <c r="AA19" s="7" t="s">
        <v>62</v>
      </c>
    </row>
    <row r="20" spans="1:27" ht="31.5" customHeight="1" x14ac:dyDescent="0.25">
      <c r="A20" s="1"/>
      <c r="B20" s="11" t="s">
        <v>63</v>
      </c>
      <c r="C20" s="104" t="s">
        <v>423</v>
      </c>
      <c r="D20" s="104"/>
      <c r="E20" s="104"/>
      <c r="F20" s="104"/>
      <c r="G20" s="104"/>
      <c r="H20" s="104"/>
      <c r="I20" s="13" t="s">
        <v>27</v>
      </c>
      <c r="J20" s="95" t="s">
        <v>412</v>
      </c>
      <c r="K20" s="1"/>
      <c r="Y20" s="5" t="s">
        <v>64</v>
      </c>
      <c r="Z20" s="6" t="s">
        <v>65</v>
      </c>
      <c r="AA20" s="7" t="s">
        <v>66</v>
      </c>
    </row>
    <row r="21" spans="1:27" ht="20.25" customHeight="1" x14ac:dyDescent="0.25">
      <c r="A21" s="1"/>
      <c r="B21" s="13" t="s">
        <v>46</v>
      </c>
      <c r="C21" s="105" t="s">
        <v>422</v>
      </c>
      <c r="D21" s="105"/>
      <c r="E21" s="105"/>
      <c r="F21" s="105"/>
      <c r="G21" s="105"/>
      <c r="H21" s="105"/>
      <c r="I21" s="13" t="s">
        <v>47</v>
      </c>
      <c r="J21" s="18"/>
      <c r="K21" s="1"/>
      <c r="Y21" s="5" t="str">
        <f t="shared" ref="Y21:Y39" si="1">+SUBSTITUTE(Z21," ","_")</f>
        <v>CONTRATISTA_ESPECIALIDADES_ACABADOS</v>
      </c>
      <c r="Z21" s="6" t="s">
        <v>67</v>
      </c>
      <c r="AA21" s="7" t="s">
        <v>68</v>
      </c>
    </row>
    <row r="22" spans="1:27" ht="3" customHeight="1" x14ac:dyDescent="0.2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25">
      <c r="A23" s="1"/>
      <c r="B23" s="11" t="s">
        <v>71</v>
      </c>
      <c r="C23" s="104" t="s">
        <v>417</v>
      </c>
      <c r="D23" s="104"/>
      <c r="E23" s="104"/>
      <c r="F23" s="104"/>
      <c r="G23" s="104"/>
      <c r="H23" s="104"/>
      <c r="I23" s="13" t="s">
        <v>27</v>
      </c>
      <c r="J23" s="14"/>
      <c r="K23" s="1"/>
      <c r="Y23" s="5" t="str">
        <f t="shared" si="1"/>
        <v>CONTRATISTAS_INSTALACIONES_MECÁNICAS</v>
      </c>
      <c r="Z23" s="6" t="s">
        <v>72</v>
      </c>
      <c r="AA23" s="7" t="s">
        <v>73</v>
      </c>
    </row>
    <row r="24" spans="1:27" ht="20.25" customHeight="1" x14ac:dyDescent="0.25">
      <c r="A24" s="1"/>
      <c r="B24" s="13" t="s">
        <v>46</v>
      </c>
      <c r="C24" s="117"/>
      <c r="D24" s="117"/>
      <c r="E24" s="117"/>
      <c r="F24" s="117"/>
      <c r="G24" s="117"/>
      <c r="H24" s="117"/>
      <c r="I24" s="13" t="s">
        <v>47</v>
      </c>
      <c r="J24" s="18"/>
      <c r="K24" s="1"/>
      <c r="Y24" s="5" t="str">
        <f t="shared" si="1"/>
        <v>CONTRATISTAS_INSTALACIONES_ESPECIALES</v>
      </c>
      <c r="Z24" s="6" t="s">
        <v>74</v>
      </c>
      <c r="AA24" s="7" t="s">
        <v>75</v>
      </c>
    </row>
    <row r="25" spans="1:27" ht="16.5" customHeight="1" x14ac:dyDescent="0.25">
      <c r="A25" s="1"/>
      <c r="B25" s="2"/>
      <c r="C25" s="3"/>
      <c r="D25" s="3"/>
      <c r="E25" s="3"/>
      <c r="F25" s="3"/>
      <c r="G25" s="3"/>
      <c r="H25" s="4"/>
      <c r="I25" s="3"/>
      <c r="J25" s="3"/>
      <c r="K25" s="1"/>
      <c r="Y25" s="5" t="str">
        <f t="shared" si="1"/>
        <v>CONTRATISTAS_MEDIOS_DE_ELEVACIÓN</v>
      </c>
      <c r="Z25" s="6" t="s">
        <v>76</v>
      </c>
      <c r="AA25" s="7" t="s">
        <v>77</v>
      </c>
    </row>
    <row r="26" spans="1:27" ht="21.75" customHeight="1" x14ac:dyDescent="0.25">
      <c r="A26" s="1"/>
      <c r="B26" s="19" t="s">
        <v>78</v>
      </c>
      <c r="C26" s="118" t="s">
        <v>414</v>
      </c>
      <c r="D26" s="118"/>
      <c r="E26" s="118"/>
      <c r="F26" s="118"/>
      <c r="G26" s="118"/>
      <c r="H26" s="118"/>
      <c r="I26" s="118"/>
      <c r="J26" s="118"/>
      <c r="K26" s="1"/>
      <c r="Y26" s="5" t="str">
        <f t="shared" si="1"/>
        <v>CONTRATISTAS_DE_REHABILITACIÓN</v>
      </c>
      <c r="Z26" s="6" t="s">
        <v>79</v>
      </c>
      <c r="AA26" s="7" t="s">
        <v>80</v>
      </c>
    </row>
    <row r="27" spans="1:27" ht="18.75" customHeight="1" x14ac:dyDescent="0.25">
      <c r="A27" s="1"/>
      <c r="B27" s="13" t="s">
        <v>81</v>
      </c>
      <c r="C27" s="104"/>
      <c r="D27" s="104"/>
      <c r="E27" s="104"/>
      <c r="F27" s="104"/>
      <c r="G27" s="13" t="s">
        <v>82</v>
      </c>
      <c r="H27" s="20"/>
      <c r="I27" s="13" t="s">
        <v>35</v>
      </c>
      <c r="J27" s="20" t="s">
        <v>415</v>
      </c>
      <c r="K27" s="1"/>
      <c r="Y27" s="5" t="str">
        <f t="shared" si="1"/>
        <v>CONTRATISTAS_DE_EQUIPAMIENTO</v>
      </c>
      <c r="Z27" s="6" t="s">
        <v>83</v>
      </c>
      <c r="AA27" s="7" t="s">
        <v>84</v>
      </c>
    </row>
    <row r="28" spans="1:27" ht="12.75" customHeight="1" x14ac:dyDescent="0.25">
      <c r="A28" s="1"/>
      <c r="B28" s="2"/>
      <c r="C28" s="3"/>
      <c r="D28" s="3"/>
      <c r="E28" s="3"/>
      <c r="F28" s="3"/>
      <c r="G28" s="3"/>
      <c r="H28" s="4"/>
      <c r="I28" s="3"/>
      <c r="J28" s="3"/>
      <c r="K28" s="1"/>
      <c r="Y28" s="5" t="str">
        <f t="shared" si="1"/>
        <v/>
      </c>
      <c r="Z28"/>
      <c r="AA28" s="7" t="s">
        <v>85</v>
      </c>
    </row>
    <row r="29" spans="1:27" ht="15.75" customHeight="1" x14ac:dyDescent="0.25">
      <c r="A29" s="1"/>
      <c r="B29" s="114" t="s">
        <v>86</v>
      </c>
      <c r="C29" s="114"/>
      <c r="D29" s="114"/>
      <c r="E29" s="114"/>
      <c r="F29" s="114"/>
      <c r="G29" s="114"/>
      <c r="H29" s="21"/>
      <c r="I29" s="21"/>
      <c r="J29" s="21"/>
      <c r="K29" s="1"/>
      <c r="Y29" s="5" t="str">
        <f t="shared" si="1"/>
        <v/>
      </c>
      <c r="Z29"/>
      <c r="AA29" s="7" t="s">
        <v>87</v>
      </c>
    </row>
    <row r="30" spans="1:27" ht="17.25" customHeight="1" x14ac:dyDescent="0.25">
      <c r="A30" s="1"/>
      <c r="B30" s="114"/>
      <c r="C30" s="13" t="s">
        <v>88</v>
      </c>
      <c r="D30" s="115" t="s">
        <v>418</v>
      </c>
      <c r="E30" s="115"/>
      <c r="F30" s="115"/>
      <c r="G30" s="16" t="s">
        <v>89</v>
      </c>
      <c r="H30" s="115"/>
      <c r="I30" s="115"/>
      <c r="J30" s="115"/>
      <c r="K30" s="1"/>
      <c r="Y30" s="5" t="str">
        <f t="shared" si="1"/>
        <v/>
      </c>
      <c r="Z30"/>
      <c r="AA30" s="7" t="s">
        <v>90</v>
      </c>
    </row>
    <row r="31" spans="1:27" ht="17.25" customHeight="1" x14ac:dyDescent="0.25">
      <c r="A31" s="1"/>
      <c r="B31" s="114"/>
      <c r="C31" s="13" t="s">
        <v>91</v>
      </c>
      <c r="D31" s="116" t="s">
        <v>419</v>
      </c>
      <c r="E31" s="116"/>
      <c r="F31" s="116"/>
      <c r="G31" s="16" t="s">
        <v>92</v>
      </c>
      <c r="H31" s="116"/>
      <c r="I31" s="116"/>
      <c r="J31" s="116"/>
      <c r="K31" s="1"/>
      <c r="Y31" s="5" t="str">
        <f t="shared" si="1"/>
        <v/>
      </c>
      <c r="Z31"/>
      <c r="AA31" s="7" t="s">
        <v>93</v>
      </c>
    </row>
    <row r="32" spans="1:27" ht="17.25" customHeight="1" x14ac:dyDescent="0.25">
      <c r="A32" s="1"/>
      <c r="B32" s="4"/>
      <c r="C32" s="13" t="s">
        <v>94</v>
      </c>
      <c r="D32" s="126"/>
      <c r="E32" s="126"/>
      <c r="F32" s="126"/>
      <c r="G32" s="16" t="s">
        <v>95</v>
      </c>
      <c r="H32" s="126"/>
      <c r="I32" s="126"/>
      <c r="J32" s="126"/>
      <c r="K32" s="1"/>
      <c r="Y32" s="5" t="str">
        <f t="shared" si="1"/>
        <v/>
      </c>
      <c r="Z32"/>
      <c r="AA32" s="7" t="s">
        <v>96</v>
      </c>
    </row>
    <row r="33" spans="1:27" ht="10.5" customHeight="1" x14ac:dyDescent="0.25">
      <c r="A33" s="1"/>
      <c r="B33" s="2"/>
      <c r="C33" s="3"/>
      <c r="D33" s="3"/>
      <c r="E33" s="3"/>
      <c r="F33" s="3"/>
      <c r="G33" s="3"/>
      <c r="H33" s="4"/>
      <c r="I33" s="3"/>
      <c r="J33" s="3"/>
      <c r="K33" s="1"/>
      <c r="Y33" s="5" t="str">
        <f t="shared" si="1"/>
        <v/>
      </c>
      <c r="Z33"/>
      <c r="AA33" s="7" t="s">
        <v>97</v>
      </c>
    </row>
    <row r="34" spans="1:27" ht="18" customHeight="1" x14ac:dyDescent="0.25">
      <c r="A34" s="1"/>
      <c r="B34" s="114" t="s">
        <v>98</v>
      </c>
      <c r="C34" s="114"/>
      <c r="D34" s="114"/>
      <c r="E34" s="114"/>
      <c r="F34" s="114"/>
      <c r="G34" s="114"/>
      <c r="H34" s="21"/>
      <c r="I34" s="21"/>
      <c r="J34" s="21"/>
      <c r="K34" s="1"/>
      <c r="Y34" s="5" t="str">
        <f t="shared" si="1"/>
        <v/>
      </c>
      <c r="Z34"/>
      <c r="AA34" s="7" t="s">
        <v>99</v>
      </c>
    </row>
    <row r="35" spans="1:27" ht="19.5" customHeight="1" x14ac:dyDescent="0.25">
      <c r="A35" s="1"/>
      <c r="B35" s="4"/>
      <c r="C35" s="13" t="s">
        <v>88</v>
      </c>
      <c r="D35" s="115"/>
      <c r="E35" s="115"/>
      <c r="F35" s="115"/>
      <c r="G35" s="16" t="s">
        <v>100</v>
      </c>
      <c r="H35" s="115"/>
      <c r="I35" s="115"/>
      <c r="J35" s="115"/>
      <c r="K35" s="1"/>
      <c r="Y35" s="5" t="str">
        <f t="shared" si="1"/>
        <v/>
      </c>
      <c r="Z35"/>
      <c r="AA35" s="7" t="s">
        <v>101</v>
      </c>
    </row>
    <row r="36" spans="1:27" ht="19.5" customHeight="1" x14ac:dyDescent="0.25">
      <c r="A36" s="1"/>
      <c r="B36" s="4"/>
      <c r="C36" s="13" t="s">
        <v>91</v>
      </c>
      <c r="D36" s="116"/>
      <c r="E36" s="116"/>
      <c r="F36" s="116"/>
      <c r="G36" s="16" t="s">
        <v>89</v>
      </c>
      <c r="H36" s="116"/>
      <c r="I36" s="116"/>
      <c r="J36" s="116"/>
      <c r="K36" s="1"/>
      <c r="Y36" s="5" t="str">
        <f t="shared" si="1"/>
        <v/>
      </c>
      <c r="Z36"/>
      <c r="AA36" s="7" t="s">
        <v>102</v>
      </c>
    </row>
    <row r="37" spans="1:27" ht="18.75" customHeight="1" x14ac:dyDescent="0.25">
      <c r="A37" s="1"/>
      <c r="B37" s="2"/>
      <c r="C37" s="3"/>
      <c r="D37" s="3"/>
      <c r="E37" s="3"/>
      <c r="F37" s="3"/>
      <c r="G37" s="3"/>
      <c r="H37" s="4"/>
      <c r="I37" s="3"/>
      <c r="J37" s="3"/>
      <c r="K37" s="1"/>
      <c r="Y37" s="5" t="str">
        <f t="shared" si="1"/>
        <v/>
      </c>
      <c r="Z37"/>
      <c r="AA37" s="7" t="s">
        <v>103</v>
      </c>
    </row>
    <row r="38" spans="1:27" ht="19.5" customHeight="1" x14ac:dyDescent="0.25">
      <c r="A38" s="1"/>
      <c r="B38" s="114" t="s">
        <v>104</v>
      </c>
      <c r="C38" s="114"/>
      <c r="D38" s="114"/>
      <c r="E38" s="114"/>
      <c r="F38" s="114"/>
      <c r="G38" s="114"/>
      <c r="H38" s="114"/>
      <c r="I38" s="114"/>
      <c r="J38" s="114"/>
      <c r="K38" s="1"/>
      <c r="Y38" s="5" t="str">
        <f t="shared" si="1"/>
        <v/>
      </c>
      <c r="Z38"/>
      <c r="AA38" s="7" t="s">
        <v>105</v>
      </c>
    </row>
    <row r="39" spans="1:27" ht="5.25" customHeight="1" x14ac:dyDescent="0.25">
      <c r="A39" s="1"/>
      <c r="B39" s="2"/>
      <c r="C39" s="3"/>
      <c r="D39" s="3"/>
      <c r="E39" s="3"/>
      <c r="F39" s="3"/>
      <c r="G39" s="3"/>
      <c r="H39" s="4"/>
      <c r="I39" s="3"/>
      <c r="J39" s="3"/>
      <c r="K39" s="1"/>
      <c r="Y39" s="5" t="str">
        <f t="shared" si="1"/>
        <v/>
      </c>
      <c r="Z39"/>
      <c r="AA39" s="7" t="s">
        <v>106</v>
      </c>
    </row>
    <row r="40" spans="1:27" ht="30" customHeight="1" x14ac:dyDescent="0.25">
      <c r="A40" s="1"/>
      <c r="B40" s="119" t="s">
        <v>107</v>
      </c>
      <c r="C40" s="119"/>
      <c r="D40" s="120" t="s">
        <v>108</v>
      </c>
      <c r="E40" s="120"/>
      <c r="F40" s="120"/>
      <c r="G40" s="22"/>
      <c r="H40" s="120" t="s">
        <v>109</v>
      </c>
      <c r="I40" s="120"/>
      <c r="J40" s="120"/>
      <c r="K40" s="1"/>
      <c r="Z40"/>
      <c r="AA40" s="7" t="s">
        <v>110</v>
      </c>
    </row>
    <row r="41" spans="1:27" ht="28.5" customHeight="1" x14ac:dyDescent="0.25">
      <c r="A41" s="1"/>
      <c r="B41" s="121" t="s">
        <v>11</v>
      </c>
      <c r="C41" s="122"/>
      <c r="D41" s="123"/>
      <c r="E41" s="123"/>
      <c r="F41" s="123"/>
      <c r="G41" s="123"/>
      <c r="H41" s="124"/>
      <c r="I41" s="125"/>
      <c r="J41" s="125"/>
      <c r="K41" s="1"/>
      <c r="Y41" s="5" t="str">
        <f t="shared" ref="Y41:Y104" si="2">+SUBSTITUTE(Z41," ","_")</f>
        <v/>
      </c>
      <c r="Z41"/>
      <c r="AA41" s="7" t="s">
        <v>111</v>
      </c>
    </row>
    <row r="42" spans="1:27" ht="27.75" customHeight="1" x14ac:dyDescent="0.25">
      <c r="A42" s="1"/>
      <c r="B42" s="127"/>
      <c r="C42" s="128"/>
      <c r="D42" s="129"/>
      <c r="E42" s="129"/>
      <c r="F42" s="129"/>
      <c r="G42" s="129"/>
      <c r="H42" s="130"/>
      <c r="I42" s="131"/>
      <c r="J42" s="131"/>
      <c r="K42" s="1"/>
      <c r="Y42" s="5" t="str">
        <f t="shared" si="2"/>
        <v/>
      </c>
      <c r="Z42"/>
      <c r="AA42" s="7" t="s">
        <v>112</v>
      </c>
    </row>
    <row r="43" spans="1:27" ht="27.75" customHeight="1" x14ac:dyDescent="0.25">
      <c r="A43" s="1"/>
      <c r="B43" s="132"/>
      <c r="C43" s="133"/>
      <c r="D43" s="134"/>
      <c r="E43" s="134"/>
      <c r="F43" s="134"/>
      <c r="G43" s="134"/>
      <c r="H43" s="135"/>
      <c r="I43" s="135"/>
      <c r="J43" s="136"/>
      <c r="K43" s="1"/>
      <c r="Y43" s="5" t="str">
        <f t="shared" si="2"/>
        <v/>
      </c>
      <c r="Z43"/>
      <c r="AA43" s="7" t="s">
        <v>113</v>
      </c>
    </row>
    <row r="44" spans="1:27" ht="17.25" customHeight="1" x14ac:dyDescent="0.25">
      <c r="A44" s="1"/>
      <c r="B44" s="114" t="s">
        <v>114</v>
      </c>
      <c r="C44" s="114"/>
      <c r="D44" s="114"/>
      <c r="E44" s="114"/>
      <c r="F44" s="114"/>
      <c r="G44" s="114"/>
      <c r="H44" s="114"/>
      <c r="I44" s="114"/>
      <c r="J44" s="114"/>
      <c r="K44" s="1"/>
      <c r="Y44" s="5" t="str">
        <f t="shared" si="2"/>
        <v/>
      </c>
      <c r="Z44"/>
      <c r="AA44" s="23" t="s">
        <v>115</v>
      </c>
    </row>
    <row r="45" spans="1:27" ht="23.25" customHeight="1" x14ac:dyDescent="0.25">
      <c r="A45" s="1"/>
      <c r="B45" s="121"/>
      <c r="C45" s="122"/>
      <c r="D45" s="123"/>
      <c r="E45" s="123"/>
      <c r="F45" s="123"/>
      <c r="G45" s="123"/>
      <c r="H45" s="124"/>
      <c r="I45" s="125"/>
      <c r="J45" s="125"/>
      <c r="K45" s="1"/>
      <c r="Y45" s="5" t="str">
        <f t="shared" si="2"/>
        <v/>
      </c>
      <c r="Z45"/>
      <c r="AA45" s="23" t="s">
        <v>116</v>
      </c>
    </row>
    <row r="46" spans="1:27" ht="22.5" customHeight="1" x14ac:dyDescent="0.25">
      <c r="A46" s="1"/>
      <c r="B46" s="127"/>
      <c r="C46" s="128"/>
      <c r="D46" s="129"/>
      <c r="E46" s="129"/>
      <c r="F46" s="129"/>
      <c r="G46" s="129"/>
      <c r="H46" s="130"/>
      <c r="I46" s="131"/>
      <c r="J46" s="131"/>
      <c r="K46" s="1"/>
      <c r="Y46" s="5" t="str">
        <f t="shared" si="2"/>
        <v/>
      </c>
      <c r="Z46"/>
      <c r="AA46" s="23" t="s">
        <v>117</v>
      </c>
    </row>
    <row r="47" spans="1:27" ht="12" customHeight="1" x14ac:dyDescent="0.25">
      <c r="A47" s="1"/>
      <c r="B47" s="2"/>
      <c r="C47" s="3"/>
      <c r="D47" s="3"/>
      <c r="E47" s="3"/>
      <c r="F47" s="3"/>
      <c r="G47" s="3"/>
      <c r="H47" s="4"/>
      <c r="I47" s="3"/>
      <c r="J47" s="3"/>
      <c r="K47" s="1"/>
      <c r="Y47" s="5" t="str">
        <f t="shared" si="2"/>
        <v/>
      </c>
      <c r="Z47"/>
      <c r="AA47" s="23" t="s">
        <v>118</v>
      </c>
    </row>
    <row r="48" spans="1:27" ht="18" customHeight="1" x14ac:dyDescent="0.25">
      <c r="A48" s="1"/>
      <c r="B48" s="140" t="s">
        <v>119</v>
      </c>
      <c r="C48" s="140"/>
      <c r="D48" s="140"/>
      <c r="E48" s="140"/>
      <c r="F48" s="140"/>
      <c r="G48" s="140"/>
      <c r="H48" s="140"/>
      <c r="I48" s="140"/>
      <c r="J48" s="140"/>
      <c r="K48" s="1"/>
      <c r="Y48" s="5" t="str">
        <f t="shared" si="2"/>
        <v/>
      </c>
      <c r="Z48"/>
      <c r="AA48" s="7" t="s">
        <v>120</v>
      </c>
    </row>
    <row r="49" spans="1:27" ht="26.25" customHeight="1" x14ac:dyDescent="0.25">
      <c r="A49" s="1"/>
      <c r="B49" s="141" t="s">
        <v>121</v>
      </c>
      <c r="C49" s="141"/>
      <c r="D49" s="24">
        <v>2744</v>
      </c>
      <c r="E49" s="3"/>
      <c r="F49" s="141" t="s">
        <v>122</v>
      </c>
      <c r="G49" s="141"/>
      <c r="H49" s="102">
        <v>58</v>
      </c>
      <c r="I49" s="3"/>
      <c r="J49" s="26"/>
      <c r="K49" s="1"/>
      <c r="Y49" s="5" t="str">
        <f t="shared" si="2"/>
        <v/>
      </c>
      <c r="Z49"/>
      <c r="AA49" s="7" t="s">
        <v>123</v>
      </c>
    </row>
    <row r="50" spans="1:27" ht="6.75" customHeight="1" x14ac:dyDescent="0.25">
      <c r="A50" s="1"/>
      <c r="B50" s="2"/>
      <c r="C50" s="3"/>
      <c r="D50" s="3"/>
      <c r="E50" s="3"/>
      <c r="F50" s="3"/>
      <c r="G50" s="3"/>
      <c r="H50" s="4"/>
      <c r="I50" s="3"/>
      <c r="J50" s="3"/>
      <c r="K50" s="1"/>
      <c r="Y50" s="5" t="str">
        <f t="shared" si="2"/>
        <v/>
      </c>
      <c r="Z50"/>
      <c r="AA50" s="7" t="s">
        <v>124</v>
      </c>
    </row>
    <row r="51" spans="1:27" ht="19.5" customHeight="1" x14ac:dyDescent="0.25">
      <c r="A51" s="1"/>
      <c r="B51" s="140" t="s">
        <v>125</v>
      </c>
      <c r="C51" s="140"/>
      <c r="D51" s="140"/>
      <c r="E51" s="140"/>
      <c r="F51" s="140"/>
      <c r="G51" s="140"/>
      <c r="H51" s="140"/>
      <c r="I51" s="140"/>
      <c r="J51" s="140"/>
      <c r="K51" s="1"/>
      <c r="Y51" s="5" t="str">
        <f t="shared" si="2"/>
        <v/>
      </c>
      <c r="Z51"/>
      <c r="AA51" s="7" t="s">
        <v>126</v>
      </c>
    </row>
    <row r="52" spans="1:27" ht="19.5" customHeight="1" x14ac:dyDescent="0.25">
      <c r="A52" s="1"/>
      <c r="B52" s="27" t="s">
        <v>127</v>
      </c>
      <c r="C52" s="28">
        <v>263</v>
      </c>
      <c r="D52" s="13" t="s">
        <v>128</v>
      </c>
      <c r="E52" s="115" t="s">
        <v>543</v>
      </c>
      <c r="F52" s="115"/>
      <c r="G52" s="27" t="s">
        <v>129</v>
      </c>
      <c r="H52" s="28">
        <v>6</v>
      </c>
      <c r="I52" s="13" t="s">
        <v>128</v>
      </c>
      <c r="J52" s="28" t="s">
        <v>547</v>
      </c>
      <c r="K52" s="1"/>
      <c r="Y52" s="5" t="str">
        <f t="shared" si="2"/>
        <v/>
      </c>
      <c r="Z52"/>
      <c r="AA52" s="23" t="s">
        <v>130</v>
      </c>
    </row>
    <row r="53" spans="1:27" ht="19.5" customHeight="1" x14ac:dyDescent="0.25">
      <c r="A53" s="1"/>
      <c r="B53" s="27" t="s">
        <v>131</v>
      </c>
      <c r="C53" s="28">
        <v>272</v>
      </c>
      <c r="D53" s="13" t="s">
        <v>128</v>
      </c>
      <c r="E53" s="115" t="s">
        <v>544</v>
      </c>
      <c r="F53" s="115"/>
      <c r="G53" s="27" t="s">
        <v>132</v>
      </c>
      <c r="H53" s="28"/>
      <c r="I53" s="13" t="s">
        <v>128</v>
      </c>
      <c r="J53" s="28"/>
      <c r="K53" s="1"/>
      <c r="Y53" s="5" t="str">
        <f t="shared" si="2"/>
        <v/>
      </c>
      <c r="Z53"/>
      <c r="AA53" s="7" t="s">
        <v>133</v>
      </c>
    </row>
    <row r="54" spans="1:27" ht="19.5" customHeight="1" x14ac:dyDescent="0.25">
      <c r="A54" s="1"/>
      <c r="B54" s="27" t="s">
        <v>134</v>
      </c>
      <c r="C54" s="28">
        <v>815</v>
      </c>
      <c r="D54" s="13" t="s">
        <v>128</v>
      </c>
      <c r="E54" s="115" t="s">
        <v>545</v>
      </c>
      <c r="F54" s="115"/>
      <c r="G54" s="27" t="s">
        <v>135</v>
      </c>
      <c r="H54" s="28"/>
      <c r="I54" s="13" t="s">
        <v>128</v>
      </c>
      <c r="J54" s="28"/>
      <c r="K54" s="1"/>
      <c r="Y54" s="5" t="str">
        <f t="shared" si="2"/>
        <v/>
      </c>
      <c r="Z54"/>
      <c r="AA54" s="7" t="s">
        <v>136</v>
      </c>
    </row>
    <row r="55" spans="1:27" ht="19.5" customHeight="1" x14ac:dyDescent="0.25">
      <c r="A55" s="1"/>
      <c r="B55" s="27" t="s">
        <v>137</v>
      </c>
      <c r="C55" s="28">
        <v>1446</v>
      </c>
      <c r="D55" s="13" t="s">
        <v>128</v>
      </c>
      <c r="E55" s="115" t="s">
        <v>546</v>
      </c>
      <c r="F55" s="115"/>
      <c r="G55" s="27" t="s">
        <v>138</v>
      </c>
      <c r="H55" s="28"/>
      <c r="I55" s="13" t="s">
        <v>128</v>
      </c>
      <c r="J55" s="28"/>
      <c r="K55" s="1"/>
      <c r="Y55" s="5" t="str">
        <f t="shared" si="2"/>
        <v/>
      </c>
      <c r="Z55"/>
      <c r="AA55" s="7" t="s">
        <v>139</v>
      </c>
    </row>
    <row r="56" spans="1:27" ht="19.5" customHeight="1" x14ac:dyDescent="0.25">
      <c r="A56" s="1"/>
      <c r="B56" s="2"/>
      <c r="C56" s="3"/>
      <c r="D56" s="3"/>
      <c r="E56" s="3"/>
      <c r="F56" s="3"/>
      <c r="G56" s="3"/>
      <c r="H56" s="4"/>
      <c r="I56" s="3"/>
      <c r="J56" s="3"/>
      <c r="K56" s="1"/>
      <c r="Y56" s="5" t="str">
        <f t="shared" si="2"/>
        <v/>
      </c>
      <c r="Z56"/>
      <c r="AA56" s="7" t="s">
        <v>140</v>
      </c>
    </row>
    <row r="57" spans="1:27" ht="20.25" customHeight="1" x14ac:dyDescent="0.25">
      <c r="A57" s="1"/>
      <c r="B57" s="114" t="s">
        <v>141</v>
      </c>
      <c r="C57" s="114"/>
      <c r="D57" s="114"/>
      <c r="E57" s="114"/>
      <c r="F57" s="114"/>
      <c r="G57" s="114"/>
      <c r="H57" s="114"/>
      <c r="I57" s="3"/>
      <c r="J57" s="3"/>
      <c r="K57" s="1"/>
      <c r="Y57" s="5" t="str">
        <f t="shared" si="2"/>
        <v/>
      </c>
      <c r="Z57"/>
      <c r="AA57" s="7" t="s">
        <v>142</v>
      </c>
    </row>
    <row r="58" spans="1:27" ht="19.5" customHeight="1" x14ac:dyDescent="0.25">
      <c r="A58" s="1"/>
      <c r="B58" s="13" t="s">
        <v>88</v>
      </c>
      <c r="C58" s="137" t="s">
        <v>425</v>
      </c>
      <c r="D58" s="138"/>
      <c r="E58" s="138"/>
      <c r="F58" s="139"/>
      <c r="G58" s="16" t="s">
        <v>95</v>
      </c>
      <c r="H58" s="137" t="s">
        <v>430</v>
      </c>
      <c r="I58" s="138"/>
      <c r="J58" s="139"/>
      <c r="K58" s="1"/>
      <c r="Y58" s="5" t="str">
        <f t="shared" si="2"/>
        <v/>
      </c>
      <c r="Z58"/>
      <c r="AA58" s="7" t="s">
        <v>143</v>
      </c>
    </row>
    <row r="59" spans="1:27" ht="19.5" customHeight="1" x14ac:dyDescent="0.25">
      <c r="A59" s="1"/>
      <c r="B59" s="13" t="s">
        <v>91</v>
      </c>
      <c r="C59" s="137" t="s">
        <v>429</v>
      </c>
      <c r="D59" s="138"/>
      <c r="E59" s="138"/>
      <c r="F59" s="139"/>
      <c r="G59" s="16" t="s">
        <v>144</v>
      </c>
      <c r="H59" s="137" t="s">
        <v>431</v>
      </c>
      <c r="I59" s="138"/>
      <c r="J59" s="139"/>
      <c r="K59" s="1"/>
      <c r="Y59" s="5" t="str">
        <f t="shared" si="2"/>
        <v/>
      </c>
      <c r="Z59"/>
      <c r="AA59" s="7" t="s">
        <v>145</v>
      </c>
    </row>
    <row r="60" spans="1:27" ht="19.5" customHeight="1" x14ac:dyDescent="0.25">
      <c r="A60" s="1"/>
      <c r="B60" s="13" t="s">
        <v>94</v>
      </c>
      <c r="C60" s="137" t="s">
        <v>426</v>
      </c>
      <c r="D60" s="138"/>
      <c r="E60" s="138"/>
      <c r="F60" s="139"/>
      <c r="G60" s="16" t="s">
        <v>146</v>
      </c>
      <c r="H60" s="137" t="s">
        <v>432</v>
      </c>
      <c r="I60" s="138"/>
      <c r="J60" s="139"/>
      <c r="K60" s="1"/>
      <c r="Y60" s="5" t="str">
        <f t="shared" si="2"/>
        <v/>
      </c>
      <c r="Z60"/>
      <c r="AA60" s="7" t="s">
        <v>147</v>
      </c>
    </row>
    <row r="61" spans="1:27" ht="19.5" customHeight="1" x14ac:dyDescent="0.25">
      <c r="A61" s="1"/>
      <c r="B61" s="13" t="s">
        <v>148</v>
      </c>
      <c r="C61" s="137" t="s">
        <v>427</v>
      </c>
      <c r="D61" s="138"/>
      <c r="E61" s="138"/>
      <c r="F61" s="139"/>
      <c r="G61" s="16" t="s">
        <v>149</v>
      </c>
      <c r="H61" s="137" t="s">
        <v>433</v>
      </c>
      <c r="I61" s="138"/>
      <c r="J61" s="139"/>
      <c r="K61" s="1"/>
      <c r="Y61" s="5" t="str">
        <f t="shared" si="2"/>
        <v/>
      </c>
      <c r="Z61"/>
      <c r="AA61" s="7" t="s">
        <v>150</v>
      </c>
    </row>
    <row r="62" spans="1:27" ht="19.5" customHeight="1" x14ac:dyDescent="0.25">
      <c r="A62" s="1"/>
      <c r="B62" s="13" t="s">
        <v>151</v>
      </c>
      <c r="C62" s="137" t="s">
        <v>428</v>
      </c>
      <c r="D62" s="138"/>
      <c r="E62" s="138"/>
      <c r="F62" s="139"/>
      <c r="G62" s="16" t="s">
        <v>152</v>
      </c>
      <c r="H62" s="137" t="s">
        <v>434</v>
      </c>
      <c r="I62" s="138"/>
      <c r="J62" s="139"/>
      <c r="K62" s="1"/>
      <c r="Y62" s="5" t="str">
        <f t="shared" si="2"/>
        <v/>
      </c>
      <c r="Z62"/>
      <c r="AA62" s="7" t="s">
        <v>153</v>
      </c>
    </row>
    <row r="63" spans="1:27" ht="18" customHeight="1" x14ac:dyDescent="0.25">
      <c r="A63" s="1"/>
      <c r="B63" s="29"/>
      <c r="C63" s="30"/>
      <c r="D63" s="30"/>
      <c r="E63" s="30"/>
      <c r="F63" s="30"/>
      <c r="G63" s="30"/>
      <c r="H63" s="30"/>
      <c r="I63" s="30"/>
      <c r="J63" s="30"/>
      <c r="K63" s="1"/>
      <c r="Y63" s="5" t="str">
        <f t="shared" si="2"/>
        <v/>
      </c>
      <c r="Z63"/>
      <c r="AA63" s="7" t="s">
        <v>154</v>
      </c>
    </row>
    <row r="64" spans="1:27" ht="12.75" customHeight="1" x14ac:dyDescent="0.25">
      <c r="A64" s="1"/>
      <c r="B64" s="29"/>
      <c r="C64" s="30"/>
      <c r="D64" s="30"/>
      <c r="E64" s="30"/>
      <c r="F64" s="30"/>
      <c r="G64" s="30"/>
      <c r="H64" s="30"/>
      <c r="I64" s="30"/>
      <c r="J64" s="30"/>
      <c r="K64" s="1"/>
      <c r="Y64" s="5" t="str">
        <f t="shared" si="2"/>
        <v/>
      </c>
      <c r="Z64"/>
      <c r="AA64" s="7" t="s">
        <v>154</v>
      </c>
    </row>
    <row r="65" spans="1:27" ht="19.5" customHeight="1" x14ac:dyDescent="0.25">
      <c r="A65" s="1"/>
      <c r="B65" s="142" t="s">
        <v>155</v>
      </c>
      <c r="C65" s="142"/>
      <c r="D65" s="142"/>
      <c r="E65" s="142"/>
      <c r="F65" s="142"/>
      <c r="G65" s="142"/>
      <c r="H65" s="142"/>
      <c r="I65" s="142"/>
      <c r="J65" s="31" t="s">
        <v>156</v>
      </c>
      <c r="K65" s="1"/>
      <c r="Y65" s="5" t="str">
        <f t="shared" si="2"/>
        <v/>
      </c>
      <c r="Z65"/>
      <c r="AA65" s="7" t="s">
        <v>157</v>
      </c>
    </row>
    <row r="66" spans="1:27" ht="9.75" customHeight="1" x14ac:dyDescent="0.25">
      <c r="A66" s="1"/>
      <c r="B66" s="2"/>
      <c r="C66" s="3"/>
      <c r="D66" s="3"/>
      <c r="E66" s="3"/>
      <c r="F66" s="3"/>
      <c r="G66" s="3"/>
      <c r="H66" s="4"/>
      <c r="I66" s="3"/>
      <c r="J66" s="3"/>
      <c r="K66" s="1"/>
      <c r="Y66" s="5" t="str">
        <f t="shared" si="2"/>
        <v/>
      </c>
      <c r="Z66"/>
      <c r="AA66" s="7" t="s">
        <v>158</v>
      </c>
    </row>
    <row r="67" spans="1:27" ht="27.75" customHeight="1" x14ac:dyDescent="0.25">
      <c r="A67" s="1"/>
      <c r="B67" s="143" t="s">
        <v>159</v>
      </c>
      <c r="C67" s="4" t="s">
        <v>160</v>
      </c>
      <c r="D67" s="115" t="s">
        <v>441</v>
      </c>
      <c r="E67" s="115"/>
      <c r="F67" s="115"/>
      <c r="G67" s="13" t="s">
        <v>161</v>
      </c>
      <c r="H67" s="32">
        <v>20000000</v>
      </c>
      <c r="I67" s="4"/>
      <c r="J67" s="3"/>
      <c r="K67" s="1"/>
      <c r="Y67" s="5" t="str">
        <f t="shared" si="2"/>
        <v/>
      </c>
      <c r="Z67"/>
      <c r="AA67" s="7" t="s">
        <v>162</v>
      </c>
    </row>
    <row r="68" spans="1:27" ht="25.5" customHeight="1" x14ac:dyDescent="0.25">
      <c r="A68" s="1"/>
      <c r="B68" s="143"/>
      <c r="C68" s="4" t="s">
        <v>163</v>
      </c>
      <c r="D68" s="33">
        <v>44166</v>
      </c>
      <c r="E68" s="3"/>
      <c r="F68" s="3"/>
      <c r="G68" s="16"/>
      <c r="H68" s="4" t="s">
        <v>164</v>
      </c>
      <c r="I68" s="25" t="s">
        <v>435</v>
      </c>
      <c r="J68" s="3"/>
      <c r="K68" s="1"/>
      <c r="Y68" s="5" t="str">
        <f t="shared" si="2"/>
        <v/>
      </c>
      <c r="Z68"/>
      <c r="AA68" s="7" t="s">
        <v>165</v>
      </c>
    </row>
    <row r="69" spans="1:27" ht="15.75" customHeight="1" x14ac:dyDescent="0.25">
      <c r="A69" s="1"/>
      <c r="B69" s="2" t="s">
        <v>166</v>
      </c>
      <c r="C69" s="3"/>
      <c r="D69" s="3"/>
      <c r="E69" s="3"/>
      <c r="F69" s="3"/>
      <c r="G69" s="16"/>
      <c r="H69" s="4"/>
      <c r="I69" s="3"/>
      <c r="J69" s="3"/>
      <c r="K69" s="1"/>
      <c r="Y69" s="5" t="str">
        <f t="shared" si="2"/>
        <v/>
      </c>
      <c r="Z69"/>
      <c r="AA69" s="7" t="s">
        <v>167</v>
      </c>
    </row>
    <row r="70" spans="1:27" ht="29.25" customHeight="1" x14ac:dyDescent="0.25">
      <c r="A70" s="1"/>
      <c r="B70" s="143" t="s">
        <v>168</v>
      </c>
      <c r="C70" s="4" t="s">
        <v>160</v>
      </c>
      <c r="D70" s="115" t="s">
        <v>436</v>
      </c>
      <c r="E70" s="115"/>
      <c r="F70" s="115"/>
      <c r="G70" s="13" t="s">
        <v>161</v>
      </c>
      <c r="H70" s="32" t="s">
        <v>437</v>
      </c>
      <c r="I70" s="4"/>
      <c r="J70" s="3"/>
      <c r="K70" s="1"/>
      <c r="Y70" s="5" t="str">
        <f t="shared" si="2"/>
        <v/>
      </c>
      <c r="Z70"/>
      <c r="AA70" s="7" t="s">
        <v>169</v>
      </c>
    </row>
    <row r="71" spans="1:27" ht="25.5" customHeight="1" x14ac:dyDescent="0.25">
      <c r="A71" s="1"/>
      <c r="B71" s="143"/>
      <c r="C71" s="4" t="s">
        <v>163</v>
      </c>
      <c r="D71" s="33"/>
      <c r="E71" s="3"/>
      <c r="F71" s="3"/>
      <c r="G71" s="16"/>
      <c r="H71" s="4"/>
      <c r="I71" s="4"/>
      <c r="J71" s="3"/>
      <c r="K71" s="1"/>
      <c r="Y71" s="5" t="str">
        <f t="shared" si="2"/>
        <v/>
      </c>
      <c r="Z71"/>
      <c r="AA71" s="7" t="s">
        <v>170</v>
      </c>
    </row>
    <row r="72" spans="1:27" ht="12" customHeight="1" x14ac:dyDescent="0.25">
      <c r="A72" s="1"/>
      <c r="B72" s="34"/>
      <c r="C72" s="34"/>
      <c r="D72" s="34"/>
      <c r="E72" s="34"/>
      <c r="F72" s="34"/>
      <c r="G72" s="27"/>
      <c r="H72" s="34"/>
      <c r="I72" s="4"/>
      <c r="J72" s="34"/>
      <c r="K72" s="1"/>
      <c r="Y72" s="5" t="str">
        <f t="shared" si="2"/>
        <v/>
      </c>
      <c r="Z72"/>
      <c r="AA72" s="7" t="s">
        <v>171</v>
      </c>
    </row>
    <row r="73" spans="1:27" ht="27" customHeight="1" x14ac:dyDescent="0.25">
      <c r="A73" s="1"/>
      <c r="B73" s="143" t="s">
        <v>172</v>
      </c>
      <c r="C73" s="4" t="s">
        <v>160</v>
      </c>
      <c r="D73" s="115" t="s">
        <v>440</v>
      </c>
      <c r="E73" s="115"/>
      <c r="F73" s="115"/>
      <c r="G73" s="13" t="s">
        <v>161</v>
      </c>
      <c r="H73" s="32" t="s">
        <v>438</v>
      </c>
      <c r="I73" s="4"/>
      <c r="J73" s="3"/>
      <c r="K73" s="1"/>
      <c r="Y73" s="5" t="str">
        <f t="shared" si="2"/>
        <v/>
      </c>
      <c r="Z73"/>
      <c r="AA73" s="7" t="s">
        <v>173</v>
      </c>
    </row>
    <row r="74" spans="1:27" ht="28.5" customHeight="1" x14ac:dyDescent="0.25">
      <c r="A74" s="1"/>
      <c r="B74" s="143"/>
      <c r="C74" s="4" t="s">
        <v>163</v>
      </c>
      <c r="D74" s="33" t="s">
        <v>442</v>
      </c>
      <c r="E74" s="3"/>
      <c r="F74" s="3"/>
      <c r="G74" s="16"/>
      <c r="H74" s="4"/>
      <c r="I74" s="4"/>
      <c r="J74" s="3"/>
      <c r="K74" s="1"/>
      <c r="Y74" s="5" t="str">
        <f t="shared" si="2"/>
        <v/>
      </c>
      <c r="Z74"/>
      <c r="AA74" s="7" t="s">
        <v>174</v>
      </c>
    </row>
    <row r="75" spans="1:27" ht="12" customHeight="1" x14ac:dyDescent="0.25">
      <c r="A75" s="1"/>
      <c r="B75" s="2"/>
      <c r="C75" s="3"/>
      <c r="D75" s="3"/>
      <c r="E75" s="3"/>
      <c r="F75" s="3"/>
      <c r="G75" s="16"/>
      <c r="H75" s="4"/>
      <c r="I75" s="3"/>
      <c r="J75" s="3"/>
      <c r="K75" s="1"/>
      <c r="Y75" s="5" t="str">
        <f t="shared" si="2"/>
        <v/>
      </c>
      <c r="Z75"/>
      <c r="AA75" s="7" t="s">
        <v>175</v>
      </c>
    </row>
    <row r="76" spans="1:27" ht="28.5" customHeight="1" x14ac:dyDescent="0.25">
      <c r="A76" s="1"/>
      <c r="B76" s="148" t="s">
        <v>439</v>
      </c>
      <c r="C76" s="4" t="s">
        <v>160</v>
      </c>
      <c r="D76" s="115"/>
      <c r="E76" s="115"/>
      <c r="F76" s="115"/>
      <c r="G76" s="13" t="s">
        <v>161</v>
      </c>
      <c r="H76" s="32"/>
      <c r="I76" s="4"/>
      <c r="J76" s="4"/>
      <c r="K76" s="1"/>
      <c r="Y76" s="5" t="str">
        <f t="shared" si="2"/>
        <v/>
      </c>
      <c r="Z76"/>
      <c r="AA76" s="7" t="s">
        <v>176</v>
      </c>
    </row>
    <row r="77" spans="1:27" ht="28.5" customHeight="1" x14ac:dyDescent="0.25">
      <c r="A77" s="1"/>
      <c r="B77" s="148"/>
      <c r="C77" s="4" t="s">
        <v>163</v>
      </c>
      <c r="D77" s="33"/>
      <c r="E77" s="3"/>
      <c r="F77" s="3"/>
      <c r="G77" s="16"/>
      <c r="H77" s="4"/>
      <c r="I77" s="4"/>
      <c r="J77" s="3"/>
      <c r="K77" s="1"/>
      <c r="Y77" s="5" t="str">
        <f t="shared" si="2"/>
        <v/>
      </c>
      <c r="Z77"/>
      <c r="AA77" s="7" t="s">
        <v>177</v>
      </c>
    </row>
    <row r="78" spans="1:27" ht="17.25" customHeight="1" x14ac:dyDescent="0.25">
      <c r="A78" s="1"/>
      <c r="B78" s="29"/>
      <c r="C78" s="30"/>
      <c r="D78" s="30"/>
      <c r="E78" s="30"/>
      <c r="F78" s="30"/>
      <c r="G78" s="30"/>
      <c r="H78" s="30"/>
      <c r="I78" s="30"/>
      <c r="J78" s="30"/>
      <c r="K78" s="1"/>
      <c r="Y78" s="5" t="str">
        <f t="shared" si="2"/>
        <v/>
      </c>
      <c r="Z78"/>
      <c r="AA78" s="7" t="s">
        <v>178</v>
      </c>
    </row>
    <row r="79" spans="1:27" ht="18.75" customHeight="1" x14ac:dyDescent="0.25">
      <c r="A79" s="1"/>
      <c r="B79" s="144" t="s">
        <v>179</v>
      </c>
      <c r="C79" s="144"/>
      <c r="D79" s="144"/>
      <c r="E79" s="144"/>
      <c r="F79" s="144"/>
      <c r="G79" s="144"/>
      <c r="H79" s="144"/>
      <c r="I79" s="144"/>
      <c r="J79" s="144"/>
      <c r="K79" s="1"/>
      <c r="Y79" s="5" t="str">
        <f t="shared" si="2"/>
        <v/>
      </c>
      <c r="Z79"/>
      <c r="AA79" s="7" t="s">
        <v>180</v>
      </c>
    </row>
    <row r="80" spans="1:27" ht="15" customHeight="1" x14ac:dyDescent="0.25">
      <c r="A80" s="1"/>
      <c r="B80" s="29"/>
      <c r="C80" s="30"/>
      <c r="D80" s="30"/>
      <c r="E80" s="30"/>
      <c r="F80" s="30"/>
      <c r="G80" s="30"/>
      <c r="H80" s="30"/>
      <c r="I80" s="30"/>
      <c r="J80" s="30"/>
      <c r="K80" s="1"/>
      <c r="Y80" s="5" t="str">
        <f t="shared" si="2"/>
        <v/>
      </c>
      <c r="Z80"/>
      <c r="AA80" s="7" t="s">
        <v>181</v>
      </c>
    </row>
    <row r="81" spans="1:27" ht="18.75" customHeight="1" x14ac:dyDescent="0.25">
      <c r="A81" s="1"/>
      <c r="B81" s="149" t="s">
        <v>182</v>
      </c>
      <c r="C81" s="149"/>
      <c r="D81" s="149"/>
      <c r="E81" s="149"/>
      <c r="F81" s="149"/>
      <c r="G81" s="149"/>
      <c r="H81" s="149"/>
      <c r="I81" s="149"/>
      <c r="J81" s="35" t="s">
        <v>183</v>
      </c>
      <c r="K81" s="1"/>
      <c r="Y81" s="5" t="str">
        <f t="shared" si="2"/>
        <v/>
      </c>
      <c r="Z81"/>
      <c r="AA81" s="7" t="s">
        <v>184</v>
      </c>
    </row>
    <row r="82" spans="1:27" ht="7.5" customHeight="1" x14ac:dyDescent="0.25">
      <c r="A82" s="1"/>
      <c r="B82" s="2"/>
      <c r="C82" s="3"/>
      <c r="D82" s="3"/>
      <c r="E82" s="3"/>
      <c r="F82" s="3"/>
      <c r="G82" s="3"/>
      <c r="H82" s="4"/>
      <c r="I82" s="3"/>
      <c r="J82" s="3"/>
      <c r="K82" s="1"/>
      <c r="Y82" s="5" t="str">
        <f t="shared" si="2"/>
        <v/>
      </c>
      <c r="Z82"/>
      <c r="AA82" s="7" t="s">
        <v>185</v>
      </c>
    </row>
    <row r="83" spans="1:27" ht="16.5" customHeight="1" x14ac:dyDescent="0.25">
      <c r="A83" s="1"/>
      <c r="B83" s="114" t="s">
        <v>186</v>
      </c>
      <c r="C83" s="114"/>
      <c r="D83" s="114"/>
      <c r="E83" s="114"/>
      <c r="F83" s="114"/>
      <c r="G83" s="114"/>
      <c r="H83" s="114"/>
      <c r="I83" s="114"/>
      <c r="J83" s="114"/>
      <c r="K83" s="1"/>
      <c r="Y83" s="5" t="str">
        <f t="shared" si="2"/>
        <v/>
      </c>
      <c r="Z83"/>
      <c r="AA83" s="7" t="s">
        <v>187</v>
      </c>
    </row>
    <row r="84" spans="1:27" ht="42.75" customHeight="1" x14ac:dyDescent="0.25">
      <c r="A84" s="1"/>
      <c r="B84" s="2"/>
      <c r="C84" s="21"/>
      <c r="D84" s="21"/>
      <c r="E84" s="36" t="s">
        <v>188</v>
      </c>
      <c r="F84" s="36" t="s">
        <v>189</v>
      </c>
      <c r="G84" s="4"/>
      <c r="H84" s="4"/>
      <c r="I84" s="3"/>
      <c r="J84" s="3"/>
      <c r="K84" s="1"/>
      <c r="Y84" s="5" t="str">
        <f t="shared" si="2"/>
        <v/>
      </c>
      <c r="Z84"/>
      <c r="AA84" s="7" t="s">
        <v>190</v>
      </c>
    </row>
    <row r="85" spans="1:27" ht="18.75" customHeight="1" x14ac:dyDescent="0.25">
      <c r="A85" s="1"/>
      <c r="B85" s="2"/>
      <c r="C85" s="27" t="s">
        <v>191</v>
      </c>
      <c r="D85" s="37">
        <v>2019</v>
      </c>
      <c r="E85" s="97">
        <v>602048</v>
      </c>
      <c r="F85" s="97">
        <v>33304</v>
      </c>
      <c r="G85" s="4"/>
      <c r="H85" s="4"/>
      <c r="I85" s="3"/>
      <c r="J85" s="3"/>
      <c r="K85" s="1"/>
      <c r="Y85" s="5" t="str">
        <f t="shared" si="2"/>
        <v/>
      </c>
      <c r="Z85"/>
      <c r="AA85" s="7" t="s">
        <v>192</v>
      </c>
    </row>
    <row r="86" spans="1:27" ht="17.25" customHeight="1" x14ac:dyDescent="0.25">
      <c r="A86" s="1"/>
      <c r="B86" s="2"/>
      <c r="C86" s="27" t="s">
        <v>191</v>
      </c>
      <c r="D86" s="37">
        <v>2018</v>
      </c>
      <c r="E86" s="97">
        <v>439894.50332263223</v>
      </c>
      <c r="F86" s="97">
        <v>27239</v>
      </c>
      <c r="G86" s="4"/>
      <c r="H86" s="4"/>
      <c r="I86" s="3"/>
      <c r="J86" s="3"/>
      <c r="K86" s="1"/>
      <c r="Y86" s="5" t="str">
        <f t="shared" si="2"/>
        <v/>
      </c>
      <c r="Z86"/>
      <c r="AA86" s="7" t="s">
        <v>193</v>
      </c>
    </row>
    <row r="87" spans="1:27" ht="18.75" customHeight="1" x14ac:dyDescent="0.25">
      <c r="A87" s="1"/>
      <c r="B87" s="2"/>
      <c r="C87" s="27" t="s">
        <v>191</v>
      </c>
      <c r="D87" s="37">
        <v>2017</v>
      </c>
      <c r="E87" s="97">
        <v>245351.66678023851</v>
      </c>
      <c r="F87" s="97">
        <v>21500</v>
      </c>
      <c r="G87" s="4"/>
      <c r="H87" s="4"/>
      <c r="I87" s="3"/>
      <c r="J87" s="3"/>
      <c r="K87" s="1"/>
      <c r="Y87" s="5" t="str">
        <f t="shared" si="2"/>
        <v/>
      </c>
      <c r="Z87"/>
      <c r="AA87" s="7" t="s">
        <v>194</v>
      </c>
    </row>
    <row r="88" spans="1:27" ht="10.5" customHeight="1" x14ac:dyDescent="0.25">
      <c r="A88" s="1"/>
      <c r="B88" s="2"/>
      <c r="C88" s="3"/>
      <c r="D88" s="3"/>
      <c r="E88" s="3"/>
      <c r="F88" s="3"/>
      <c r="G88" s="3"/>
      <c r="H88" s="4"/>
      <c r="I88" s="3"/>
      <c r="J88" s="3"/>
      <c r="K88" s="1"/>
      <c r="Y88" s="5" t="str">
        <f t="shared" si="2"/>
        <v/>
      </c>
      <c r="Z88"/>
      <c r="AA88" s="7" t="s">
        <v>195</v>
      </c>
    </row>
    <row r="89" spans="1:27" ht="17.25" customHeight="1" x14ac:dyDescent="0.25">
      <c r="A89" s="1"/>
      <c r="B89" s="114" t="s">
        <v>186</v>
      </c>
      <c r="C89" s="114"/>
      <c r="D89" s="114"/>
      <c r="E89" s="114"/>
      <c r="F89" s="114"/>
      <c r="G89" s="114"/>
      <c r="H89" s="114"/>
      <c r="I89" s="114"/>
      <c r="J89" s="114"/>
      <c r="K89" s="1"/>
      <c r="Y89" s="5" t="str">
        <f t="shared" si="2"/>
        <v/>
      </c>
      <c r="Z89"/>
      <c r="AA89" s="23" t="s">
        <v>196</v>
      </c>
    </row>
    <row r="90" spans="1:27" ht="41.25" customHeight="1" x14ac:dyDescent="0.25">
      <c r="A90" s="1"/>
      <c r="B90" s="21"/>
      <c r="C90" s="21"/>
      <c r="D90" s="36" t="s">
        <v>197</v>
      </c>
      <c r="E90" s="36" t="s">
        <v>198</v>
      </c>
      <c r="F90" s="36" t="s">
        <v>199</v>
      </c>
      <c r="G90" s="36" t="s">
        <v>200</v>
      </c>
      <c r="H90" s="36" t="s">
        <v>201</v>
      </c>
      <c r="I90" s="3"/>
      <c r="J90" s="3"/>
      <c r="K90" s="1"/>
      <c r="Y90" s="5" t="str">
        <f t="shared" si="2"/>
        <v/>
      </c>
      <c r="Z90"/>
      <c r="AA90" s="7" t="s">
        <v>202</v>
      </c>
    </row>
    <row r="91" spans="1:27" ht="14.25" customHeight="1" x14ac:dyDescent="0.25">
      <c r="A91" s="1"/>
      <c r="B91" s="27" t="s">
        <v>191</v>
      </c>
      <c r="C91" s="37">
        <v>2019</v>
      </c>
      <c r="D91" s="97">
        <v>372939</v>
      </c>
      <c r="E91" s="97">
        <v>313021</v>
      </c>
      <c r="F91" s="98">
        <v>15753</v>
      </c>
      <c r="G91" s="98">
        <v>110958</v>
      </c>
      <c r="H91" s="97">
        <v>332863</v>
      </c>
      <c r="I91" s="3"/>
      <c r="J91" s="3"/>
      <c r="K91" s="1"/>
      <c r="Y91" s="5" t="str">
        <f t="shared" si="2"/>
        <v/>
      </c>
      <c r="Z91"/>
      <c r="AA91" s="7" t="s">
        <v>203</v>
      </c>
    </row>
    <row r="92" spans="1:27" ht="14.25" customHeight="1" x14ac:dyDescent="0.25">
      <c r="A92" s="1"/>
      <c r="B92" s="27" t="s">
        <v>191</v>
      </c>
      <c r="C92" s="37">
        <v>2018</v>
      </c>
      <c r="D92" s="97">
        <v>313516</v>
      </c>
      <c r="E92" s="97">
        <v>262696</v>
      </c>
      <c r="F92" s="98">
        <v>21911</v>
      </c>
      <c r="G92" s="98">
        <v>125135</v>
      </c>
      <c r="H92" s="97">
        <v>282118</v>
      </c>
      <c r="I92" s="3"/>
      <c r="J92" s="3"/>
      <c r="K92" s="1"/>
      <c r="Y92" s="5" t="str">
        <f t="shared" si="2"/>
        <v/>
      </c>
      <c r="Z92"/>
      <c r="AA92" s="7" t="s">
        <v>204</v>
      </c>
    </row>
    <row r="93" spans="1:27" ht="14.25" customHeight="1" x14ac:dyDescent="0.25">
      <c r="A93" s="1"/>
      <c r="B93" s="27" t="s">
        <v>191</v>
      </c>
      <c r="C93" s="37">
        <v>2017</v>
      </c>
      <c r="D93" s="97">
        <v>206140</v>
      </c>
      <c r="E93" s="97">
        <v>171331</v>
      </c>
      <c r="F93" s="98">
        <v>16323</v>
      </c>
      <c r="G93" s="98">
        <v>110098</v>
      </c>
      <c r="H93" s="97">
        <v>187019</v>
      </c>
      <c r="I93" s="3"/>
      <c r="J93" s="3"/>
      <c r="K93" s="1"/>
      <c r="Y93" s="5" t="str">
        <f t="shared" si="2"/>
        <v/>
      </c>
      <c r="Z93"/>
      <c r="AA93" s="7" t="s">
        <v>205</v>
      </c>
    </row>
    <row r="94" spans="1:27" ht="13.5" customHeight="1" x14ac:dyDescent="0.25">
      <c r="A94" s="1"/>
      <c r="B94" s="4"/>
      <c r="C94" s="13"/>
      <c r="D94" s="13"/>
      <c r="E94" s="13"/>
      <c r="F94" s="13"/>
      <c r="G94" s="13"/>
      <c r="H94" s="13"/>
      <c r="I94" s="13"/>
      <c r="J94" s="13"/>
      <c r="K94" s="1"/>
      <c r="Y94" s="5" t="str">
        <f t="shared" si="2"/>
        <v/>
      </c>
      <c r="Z94"/>
      <c r="AA94" s="7" t="s">
        <v>206</v>
      </c>
    </row>
    <row r="95" spans="1:27" ht="17.25" customHeight="1" x14ac:dyDescent="0.25">
      <c r="A95" s="1"/>
      <c r="B95" s="144" t="s">
        <v>207</v>
      </c>
      <c r="C95" s="144"/>
      <c r="D95" s="144"/>
      <c r="E95" s="144"/>
      <c r="F95" s="144"/>
      <c r="G95" s="144"/>
      <c r="H95" s="38"/>
      <c r="I95" s="38"/>
      <c r="J95" s="38"/>
      <c r="K95" s="1"/>
      <c r="Y95" s="5" t="str">
        <f t="shared" si="2"/>
        <v/>
      </c>
      <c r="Z95"/>
      <c r="AA95" s="7" t="s">
        <v>208</v>
      </c>
    </row>
    <row r="96" spans="1:27" ht="6.75" customHeight="1" x14ac:dyDescent="0.25">
      <c r="A96" s="1"/>
      <c r="B96" s="39"/>
      <c r="C96" s="40"/>
      <c r="D96" s="40"/>
      <c r="E96" s="40"/>
      <c r="F96" s="40"/>
      <c r="G96" s="40"/>
      <c r="H96" s="41"/>
      <c r="I96" s="40"/>
      <c r="J96" s="40"/>
      <c r="K96" s="1"/>
      <c r="Y96" s="5" t="str">
        <f t="shared" si="2"/>
        <v/>
      </c>
      <c r="Z96"/>
      <c r="AA96" s="7" t="s">
        <v>209</v>
      </c>
    </row>
    <row r="97" spans="1:27" ht="17.25" customHeight="1" x14ac:dyDescent="0.25">
      <c r="A97" s="1"/>
      <c r="B97" s="39"/>
      <c r="C97" s="145"/>
      <c r="D97" s="145"/>
      <c r="E97" s="145"/>
      <c r="F97" s="145"/>
      <c r="G97" s="145"/>
      <c r="H97" s="145"/>
      <c r="I97" s="145"/>
      <c r="J97" s="145"/>
      <c r="K97" s="1"/>
      <c r="Y97" s="5" t="str">
        <f t="shared" si="2"/>
        <v/>
      </c>
      <c r="Z97"/>
      <c r="AA97" s="7" t="s">
        <v>210</v>
      </c>
    </row>
    <row r="98" spans="1:27" ht="18" customHeight="1" x14ac:dyDescent="0.25">
      <c r="A98" s="1"/>
      <c r="B98" s="39"/>
      <c r="C98" s="145"/>
      <c r="D98" s="145"/>
      <c r="E98" s="145"/>
      <c r="F98" s="145"/>
      <c r="G98" s="145"/>
      <c r="H98" s="145"/>
      <c r="I98" s="145"/>
      <c r="J98" s="145"/>
      <c r="K98" s="1"/>
      <c r="Y98" s="5" t="str">
        <f t="shared" si="2"/>
        <v/>
      </c>
      <c r="Z98"/>
      <c r="AA98" s="7" t="s">
        <v>211</v>
      </c>
    </row>
    <row r="99" spans="1:27" ht="17.25" customHeight="1" x14ac:dyDescent="0.25">
      <c r="A99" s="1"/>
      <c r="B99" s="39"/>
      <c r="C99" s="145"/>
      <c r="D99" s="145"/>
      <c r="E99" s="145"/>
      <c r="F99" s="145"/>
      <c r="G99" s="145"/>
      <c r="H99" s="145"/>
      <c r="I99" s="145"/>
      <c r="J99" s="145"/>
      <c r="K99" s="1"/>
      <c r="Y99" s="5" t="str">
        <f t="shared" si="2"/>
        <v/>
      </c>
      <c r="Z99"/>
      <c r="AA99" s="7" t="s">
        <v>212</v>
      </c>
    </row>
    <row r="100" spans="1:27" ht="12" customHeight="1" x14ac:dyDescent="0.25">
      <c r="A100" s="1"/>
      <c r="B100" s="2"/>
      <c r="C100" s="3"/>
      <c r="D100" s="3"/>
      <c r="E100" s="3"/>
      <c r="F100" s="3"/>
      <c r="G100" s="3"/>
      <c r="H100" s="4"/>
      <c r="I100" s="3"/>
      <c r="J100" s="3"/>
      <c r="K100" s="1"/>
      <c r="Y100" s="5" t="str">
        <f t="shared" si="2"/>
        <v/>
      </c>
      <c r="Z100"/>
      <c r="AA100" s="7" t="s">
        <v>213</v>
      </c>
    </row>
    <row r="101" spans="1:27" ht="19.5" customHeight="1" x14ac:dyDescent="0.25">
      <c r="A101" s="1"/>
      <c r="B101" s="146" t="s">
        <v>214</v>
      </c>
      <c r="C101" s="146"/>
      <c r="D101" s="146"/>
      <c r="E101" s="146"/>
      <c r="F101" s="146"/>
      <c r="G101" s="146"/>
      <c r="H101" s="146"/>
      <c r="I101" s="146" t="s">
        <v>183</v>
      </c>
      <c r="J101" s="42" t="s">
        <v>215</v>
      </c>
      <c r="K101" s="1"/>
      <c r="Y101" s="5" t="str">
        <f t="shared" si="2"/>
        <v/>
      </c>
      <c r="Z101"/>
      <c r="AA101" s="7" t="s">
        <v>216</v>
      </c>
    </row>
    <row r="102" spans="1:27" ht="5.25" customHeight="1" x14ac:dyDescent="0.25">
      <c r="A102" s="1"/>
      <c r="B102" s="2"/>
      <c r="C102" s="3"/>
      <c r="D102" s="3"/>
      <c r="E102" s="3"/>
      <c r="F102" s="3"/>
      <c r="G102" s="3"/>
      <c r="H102" s="4"/>
      <c r="I102" s="3"/>
      <c r="J102" s="3"/>
      <c r="K102" s="1"/>
      <c r="Y102" s="5" t="str">
        <f t="shared" si="2"/>
        <v/>
      </c>
      <c r="Z102"/>
      <c r="AA102" s="7" t="s">
        <v>217</v>
      </c>
    </row>
    <row r="103" spans="1:27" ht="21" customHeight="1" x14ac:dyDescent="0.25">
      <c r="A103" s="1"/>
      <c r="B103" s="43"/>
      <c r="C103" s="26"/>
      <c r="D103" s="44"/>
      <c r="E103" s="44"/>
      <c r="F103" s="26"/>
      <c r="G103" s="44" t="s">
        <v>218</v>
      </c>
      <c r="H103" s="44" t="s">
        <v>219</v>
      </c>
      <c r="I103" s="147" t="s">
        <v>220</v>
      </c>
      <c r="J103" s="147"/>
      <c r="K103" s="1"/>
      <c r="Y103" s="5" t="str">
        <f t="shared" si="2"/>
        <v/>
      </c>
      <c r="Z103"/>
      <c r="AA103" s="7" t="s">
        <v>221</v>
      </c>
    </row>
    <row r="104" spans="1:27" ht="18" customHeight="1" x14ac:dyDescent="0.25">
      <c r="A104" s="1"/>
      <c r="B104" s="150" t="s">
        <v>222</v>
      </c>
      <c r="C104" s="150"/>
      <c r="D104" s="150"/>
      <c r="E104" s="150"/>
      <c r="F104" s="150"/>
      <c r="G104" s="45" t="s">
        <v>218</v>
      </c>
      <c r="H104" s="46"/>
      <c r="K104" s="1"/>
      <c r="Y104" s="5" t="str">
        <f t="shared" si="2"/>
        <v/>
      </c>
      <c r="Z104"/>
      <c r="AA104" s="7" t="s">
        <v>223</v>
      </c>
    </row>
    <row r="105" spans="1:27" ht="1.5" customHeight="1" x14ac:dyDescent="0.25">
      <c r="A105" s="1"/>
      <c r="B105" s="2"/>
      <c r="C105" s="3"/>
      <c r="D105" s="3"/>
      <c r="E105" s="3"/>
      <c r="F105" s="3"/>
      <c r="G105" s="47"/>
      <c r="H105" s="48"/>
      <c r="I105" s="3"/>
      <c r="J105" s="3"/>
      <c r="K105" s="1"/>
      <c r="Y105" s="5" t="str">
        <f t="shared" ref="Y105:Y168" si="3">+SUBSTITUTE(Z105," ","_")</f>
        <v/>
      </c>
      <c r="Z105"/>
      <c r="AA105" s="7" t="s">
        <v>224</v>
      </c>
    </row>
    <row r="106" spans="1:27" ht="18" customHeight="1" x14ac:dyDescent="0.25">
      <c r="A106" s="1"/>
      <c r="B106" s="150" t="s">
        <v>225</v>
      </c>
      <c r="C106" s="150"/>
      <c r="D106" s="150"/>
      <c r="E106" s="150"/>
      <c r="F106" s="150"/>
      <c r="G106" s="45" t="s">
        <v>443</v>
      </c>
      <c r="H106" s="46"/>
      <c r="I106" s="151"/>
      <c r="J106" s="152"/>
      <c r="K106" s="1"/>
      <c r="Y106" s="5" t="str">
        <f t="shared" si="3"/>
        <v/>
      </c>
      <c r="Z106"/>
      <c r="AA106" s="7" t="s">
        <v>226</v>
      </c>
    </row>
    <row r="107" spans="1:27" ht="1.5" customHeight="1" x14ac:dyDescent="0.25">
      <c r="A107" s="1"/>
      <c r="B107" s="2"/>
      <c r="C107" s="3"/>
      <c r="D107" s="3"/>
      <c r="E107" s="3"/>
      <c r="F107" s="3"/>
      <c r="G107" s="47"/>
      <c r="H107" s="48"/>
      <c r="I107" s="3"/>
      <c r="J107" s="3"/>
      <c r="K107" s="1"/>
      <c r="Y107" s="5" t="str">
        <f t="shared" si="3"/>
        <v/>
      </c>
      <c r="Z107"/>
      <c r="AA107" s="7" t="s">
        <v>224</v>
      </c>
    </row>
    <row r="108" spans="1:27" ht="15.75" customHeight="1" x14ac:dyDescent="0.25">
      <c r="A108" s="1"/>
      <c r="B108" s="150" t="s">
        <v>227</v>
      </c>
      <c r="C108" s="150"/>
      <c r="D108" s="150"/>
      <c r="E108" s="150"/>
      <c r="F108" s="150"/>
      <c r="G108" s="45" t="s">
        <v>443</v>
      </c>
      <c r="H108" s="46"/>
      <c r="I108" s="151"/>
      <c r="J108" s="152"/>
      <c r="K108" s="1"/>
      <c r="Y108" s="5" t="str">
        <f t="shared" si="3"/>
        <v/>
      </c>
      <c r="Z108"/>
      <c r="AA108" s="7" t="s">
        <v>228</v>
      </c>
    </row>
    <row r="109" spans="1:27" ht="1.5" customHeight="1" x14ac:dyDescent="0.25">
      <c r="A109" s="1"/>
      <c r="B109" s="2"/>
      <c r="C109" s="3"/>
      <c r="D109" s="3"/>
      <c r="E109" s="3"/>
      <c r="F109" s="3"/>
      <c r="G109" s="47"/>
      <c r="H109" s="48"/>
      <c r="I109" s="3"/>
      <c r="J109" s="3"/>
      <c r="K109" s="1"/>
      <c r="Y109" s="5" t="str">
        <f t="shared" si="3"/>
        <v/>
      </c>
      <c r="Z109"/>
      <c r="AA109" s="7" t="s">
        <v>224</v>
      </c>
    </row>
    <row r="110" spans="1:27" ht="17.25" customHeight="1" x14ac:dyDescent="0.25">
      <c r="A110" s="1"/>
      <c r="B110" s="150" t="s">
        <v>229</v>
      </c>
      <c r="C110" s="150"/>
      <c r="D110" s="150"/>
      <c r="E110" s="150"/>
      <c r="F110" s="150"/>
      <c r="G110" s="45" t="s">
        <v>443</v>
      </c>
      <c r="H110" s="46"/>
      <c r="I110" s="151"/>
      <c r="J110" s="152"/>
      <c r="K110" s="1"/>
      <c r="Y110" s="5" t="str">
        <f t="shared" si="3"/>
        <v/>
      </c>
      <c r="Z110"/>
      <c r="AA110" s="7" t="s">
        <v>230</v>
      </c>
    </row>
    <row r="111" spans="1:27" ht="1.5" customHeight="1" x14ac:dyDescent="0.25">
      <c r="A111" s="1"/>
      <c r="B111" s="2"/>
      <c r="C111" s="3"/>
      <c r="D111" s="3"/>
      <c r="E111" s="3"/>
      <c r="F111" s="3"/>
      <c r="G111" s="47"/>
      <c r="H111" s="48"/>
      <c r="I111" s="3"/>
      <c r="J111" s="3"/>
      <c r="K111" s="1"/>
      <c r="Y111" s="5" t="str">
        <f t="shared" si="3"/>
        <v/>
      </c>
      <c r="Z111"/>
      <c r="AA111" s="7" t="s">
        <v>224</v>
      </c>
    </row>
    <row r="112" spans="1:27" ht="18" customHeight="1" x14ac:dyDescent="0.25">
      <c r="A112" s="1"/>
      <c r="B112" s="150" t="s">
        <v>231</v>
      </c>
      <c r="C112" s="150"/>
      <c r="D112" s="150"/>
      <c r="E112" s="150"/>
      <c r="F112" s="150"/>
      <c r="G112" s="45" t="s">
        <v>443</v>
      </c>
      <c r="H112" s="46"/>
      <c r="I112" s="151" t="s">
        <v>232</v>
      </c>
      <c r="J112" s="152"/>
      <c r="K112" s="1"/>
      <c r="Y112" s="5" t="str">
        <f t="shared" si="3"/>
        <v/>
      </c>
      <c r="Z112"/>
      <c r="AA112" s="7" t="s">
        <v>233</v>
      </c>
    </row>
    <row r="113" spans="1:27" ht="14.25" customHeight="1" x14ac:dyDescent="0.25">
      <c r="A113" s="1"/>
      <c r="B113" s="2"/>
      <c r="C113" s="3"/>
      <c r="D113" s="3"/>
      <c r="E113" s="3"/>
      <c r="F113" s="3"/>
      <c r="G113" s="47"/>
      <c r="H113" s="48"/>
      <c r="I113" s="3"/>
      <c r="J113" s="3"/>
      <c r="K113" s="1"/>
      <c r="Y113" s="5" t="str">
        <f t="shared" si="3"/>
        <v/>
      </c>
      <c r="Z113"/>
      <c r="AA113" s="7" t="s">
        <v>234</v>
      </c>
    </row>
    <row r="114" spans="1:27" ht="21.75" customHeight="1" x14ac:dyDescent="0.25">
      <c r="A114" s="1"/>
      <c r="B114" s="144" t="s">
        <v>235</v>
      </c>
      <c r="C114" s="144"/>
      <c r="D114" s="144"/>
      <c r="E114" s="144"/>
      <c r="F114" s="144"/>
      <c r="G114" s="144"/>
      <c r="H114" s="144"/>
      <c r="I114" s="144"/>
      <c r="J114" s="144"/>
      <c r="K114" s="1"/>
      <c r="Y114" s="5" t="str">
        <f t="shared" si="3"/>
        <v/>
      </c>
      <c r="Z114"/>
      <c r="AA114" s="7" t="s">
        <v>236</v>
      </c>
    </row>
    <row r="115" spans="1:27" ht="15" customHeight="1" x14ac:dyDescent="0.25">
      <c r="A115" s="1"/>
      <c r="B115" s="2"/>
      <c r="C115" s="3"/>
      <c r="D115" s="3"/>
      <c r="E115" s="3"/>
      <c r="F115" s="3"/>
      <c r="G115" s="47"/>
      <c r="H115" s="48"/>
      <c r="I115" s="3"/>
      <c r="J115" s="3"/>
      <c r="K115" s="1"/>
      <c r="Y115" s="5" t="str">
        <f t="shared" si="3"/>
        <v/>
      </c>
      <c r="Z115"/>
      <c r="AA115" s="7" t="s">
        <v>237</v>
      </c>
    </row>
    <row r="116" spans="1:27" ht="18.75" customHeight="1" x14ac:dyDescent="0.25">
      <c r="A116" s="1"/>
      <c r="B116" s="153" t="s">
        <v>238</v>
      </c>
      <c r="C116" s="153"/>
      <c r="D116" s="153"/>
      <c r="E116" s="153"/>
      <c r="F116" s="153"/>
      <c r="G116" s="153"/>
      <c r="H116" s="153"/>
      <c r="I116" s="153" t="s">
        <v>215</v>
      </c>
      <c r="J116" s="49" t="s">
        <v>239</v>
      </c>
      <c r="K116" s="1"/>
      <c r="Y116" s="5" t="str">
        <f t="shared" si="3"/>
        <v/>
      </c>
      <c r="Z116"/>
      <c r="AA116" s="7" t="s">
        <v>240</v>
      </c>
    </row>
    <row r="117" spans="1:27" ht="5.25" customHeight="1" x14ac:dyDescent="0.25">
      <c r="A117" s="1"/>
      <c r="B117" s="2"/>
      <c r="C117" s="3"/>
      <c r="D117" s="3"/>
      <c r="E117" s="3"/>
      <c r="F117" s="3"/>
      <c r="G117" s="3"/>
      <c r="H117" s="4"/>
      <c r="I117" s="3"/>
      <c r="J117" s="3"/>
      <c r="K117" s="1"/>
      <c r="Y117" s="5" t="str">
        <f t="shared" si="3"/>
        <v/>
      </c>
      <c r="Z117"/>
      <c r="AA117" s="7" t="s">
        <v>241</v>
      </c>
    </row>
    <row r="118" spans="1:27" ht="20.25" customHeight="1" x14ac:dyDescent="0.25">
      <c r="A118" s="1"/>
      <c r="B118" s="43"/>
      <c r="C118" s="44"/>
      <c r="D118" s="44"/>
      <c r="E118" s="44"/>
      <c r="F118" s="44"/>
      <c r="G118" s="44" t="s">
        <v>218</v>
      </c>
      <c r="H118" s="44" t="s">
        <v>219</v>
      </c>
      <c r="I118" s="147" t="s">
        <v>220</v>
      </c>
      <c r="J118" s="147"/>
      <c r="K118" s="1"/>
      <c r="Y118" s="5" t="str">
        <f t="shared" si="3"/>
        <v/>
      </c>
      <c r="Z118"/>
      <c r="AA118" s="7" t="s">
        <v>242</v>
      </c>
    </row>
    <row r="119" spans="1:27" ht="30.75" customHeight="1" x14ac:dyDescent="0.25">
      <c r="A119" s="1"/>
      <c r="B119" s="150" t="s">
        <v>243</v>
      </c>
      <c r="C119" s="150"/>
      <c r="D119" s="150"/>
      <c r="E119" s="150"/>
      <c r="F119" s="150"/>
      <c r="G119" s="45" t="s">
        <v>218</v>
      </c>
      <c r="H119" s="46"/>
      <c r="I119" s="151"/>
      <c r="J119" s="152"/>
      <c r="K119" s="1"/>
      <c r="Y119" s="5" t="str">
        <f t="shared" si="3"/>
        <v/>
      </c>
      <c r="Z119"/>
      <c r="AA119" s="7" t="s">
        <v>244</v>
      </c>
    </row>
    <row r="120" spans="1:27" ht="2.25" customHeight="1" x14ac:dyDescent="0.25">
      <c r="A120" s="1"/>
      <c r="B120" s="2"/>
      <c r="C120" s="3"/>
      <c r="D120" s="3"/>
      <c r="E120" s="3"/>
      <c r="F120" s="3"/>
      <c r="G120" s="50"/>
      <c r="H120" s="51"/>
      <c r="I120" s="3"/>
      <c r="J120" s="3"/>
      <c r="K120" s="1"/>
      <c r="Y120" s="5" t="str">
        <f t="shared" si="3"/>
        <v/>
      </c>
      <c r="Z120"/>
      <c r="AA120" s="7" t="s">
        <v>245</v>
      </c>
    </row>
    <row r="121" spans="1:27" ht="30.75" customHeight="1" x14ac:dyDescent="0.25">
      <c r="A121" s="1"/>
      <c r="B121" s="150" t="s">
        <v>246</v>
      </c>
      <c r="C121" s="150"/>
      <c r="D121" s="150"/>
      <c r="E121" s="150"/>
      <c r="F121" s="150"/>
      <c r="G121" s="45" t="s">
        <v>443</v>
      </c>
      <c r="H121" s="46"/>
      <c r="I121" s="151" t="s">
        <v>444</v>
      </c>
      <c r="J121" s="152"/>
      <c r="K121" s="1"/>
      <c r="Y121" s="5" t="str">
        <f t="shared" si="3"/>
        <v/>
      </c>
      <c r="Z121"/>
      <c r="AA121" s="7" t="s">
        <v>247</v>
      </c>
    </row>
    <row r="122" spans="1:27" ht="2.25" customHeight="1" x14ac:dyDescent="0.25">
      <c r="A122" s="1"/>
      <c r="B122" s="43"/>
      <c r="C122" s="43"/>
      <c r="D122" s="43"/>
      <c r="E122" s="43"/>
      <c r="F122" s="43"/>
      <c r="G122" s="43"/>
      <c r="H122" s="43"/>
      <c r="I122" s="43"/>
      <c r="J122" s="43"/>
      <c r="K122" s="1"/>
      <c r="Y122" s="5" t="str">
        <f t="shared" si="3"/>
        <v/>
      </c>
      <c r="Z122"/>
      <c r="AA122" s="7" t="s">
        <v>248</v>
      </c>
    </row>
    <row r="123" spans="1:27" ht="35.25" customHeight="1" x14ac:dyDescent="0.25">
      <c r="A123" s="1"/>
      <c r="B123" s="150" t="s">
        <v>249</v>
      </c>
      <c r="C123" s="150"/>
      <c r="D123" s="150"/>
      <c r="E123" s="150"/>
      <c r="F123" s="150"/>
      <c r="G123" s="45" t="s">
        <v>443</v>
      </c>
      <c r="H123" s="46"/>
      <c r="I123" s="151"/>
      <c r="J123" s="152"/>
      <c r="K123" s="1"/>
      <c r="Y123" s="5" t="str">
        <f t="shared" si="3"/>
        <v/>
      </c>
      <c r="Z123"/>
      <c r="AA123" s="7" t="s">
        <v>250</v>
      </c>
    </row>
    <row r="124" spans="1:27" ht="12" customHeight="1" x14ac:dyDescent="0.25">
      <c r="A124" s="1"/>
      <c r="B124" s="2"/>
      <c r="C124" s="3"/>
      <c r="D124" s="3"/>
      <c r="E124" s="3"/>
      <c r="F124" s="3"/>
      <c r="G124" s="3"/>
      <c r="H124" s="4"/>
      <c r="I124" s="3"/>
      <c r="J124" s="3"/>
      <c r="K124" s="1"/>
      <c r="Y124" s="5" t="str">
        <f t="shared" si="3"/>
        <v/>
      </c>
      <c r="Z124"/>
      <c r="AA124" s="7" t="s">
        <v>251</v>
      </c>
    </row>
    <row r="125" spans="1:27" ht="39" customHeight="1" x14ac:dyDescent="0.25">
      <c r="A125" s="1"/>
      <c r="B125" s="52" t="s">
        <v>252</v>
      </c>
      <c r="C125" s="157" t="s">
        <v>446</v>
      </c>
      <c r="D125" s="157"/>
      <c r="E125" s="157"/>
      <c r="F125" s="157"/>
      <c r="G125" s="157"/>
      <c r="H125" s="157"/>
      <c r="I125" s="157"/>
      <c r="J125" s="157"/>
      <c r="K125" s="1"/>
      <c r="Y125" s="5" t="str">
        <f t="shared" si="3"/>
        <v/>
      </c>
      <c r="Z125"/>
      <c r="AA125" s="7" t="s">
        <v>253</v>
      </c>
    </row>
    <row r="126" spans="1:27" ht="38.25" customHeight="1" x14ac:dyDescent="0.25">
      <c r="A126" s="1"/>
      <c r="B126" s="52" t="s">
        <v>254</v>
      </c>
      <c r="C126" s="158" t="s">
        <v>447</v>
      </c>
      <c r="D126" s="158"/>
      <c r="E126" s="158"/>
      <c r="F126" s="158"/>
      <c r="G126" s="158"/>
      <c r="H126" s="158"/>
      <c r="I126" s="158"/>
      <c r="J126" s="158"/>
      <c r="K126" s="1"/>
      <c r="Y126" s="5" t="str">
        <f t="shared" si="3"/>
        <v/>
      </c>
      <c r="Z126"/>
      <c r="AA126" s="7" t="s">
        <v>255</v>
      </c>
    </row>
    <row r="127" spans="1:27" ht="36.75" customHeight="1" x14ac:dyDescent="0.25">
      <c r="A127" s="1"/>
      <c r="B127" s="52" t="s">
        <v>256</v>
      </c>
      <c r="C127" s="154" t="s">
        <v>453</v>
      </c>
      <c r="D127" s="154"/>
      <c r="E127" s="154"/>
      <c r="F127" s="154"/>
      <c r="G127" s="154"/>
      <c r="H127" s="154"/>
      <c r="I127" s="154"/>
      <c r="J127" s="154"/>
      <c r="K127" s="1"/>
      <c r="Y127" s="5" t="str">
        <f t="shared" si="3"/>
        <v/>
      </c>
      <c r="Z127"/>
      <c r="AA127" s="7" t="s">
        <v>257</v>
      </c>
    </row>
    <row r="128" spans="1:27" ht="15" customHeight="1" x14ac:dyDescent="0.25">
      <c r="A128" s="1"/>
      <c r="B128" s="43"/>
      <c r="C128" s="43"/>
      <c r="D128" s="43"/>
      <c r="E128" s="43"/>
      <c r="F128" s="43"/>
      <c r="G128" s="43"/>
      <c r="H128" s="43"/>
      <c r="I128" s="43"/>
      <c r="J128" s="43"/>
      <c r="K128" s="1"/>
      <c r="Y128" s="5" t="str">
        <f t="shared" si="3"/>
        <v/>
      </c>
      <c r="Z128"/>
      <c r="AA128" s="7" t="s">
        <v>258</v>
      </c>
    </row>
    <row r="129" spans="1:27" ht="30" customHeight="1" x14ac:dyDescent="0.25">
      <c r="A129" s="1"/>
      <c r="B129" s="144" t="s">
        <v>259</v>
      </c>
      <c r="C129" s="144"/>
      <c r="D129" s="144"/>
      <c r="E129" s="144"/>
      <c r="F129" s="144"/>
      <c r="G129" s="144"/>
      <c r="H129" s="144"/>
      <c r="I129" s="144"/>
      <c r="J129" s="144"/>
      <c r="K129" s="1"/>
      <c r="Y129" s="5" t="str">
        <f t="shared" si="3"/>
        <v/>
      </c>
      <c r="Z129"/>
      <c r="AA129" s="7" t="s">
        <v>260</v>
      </c>
    </row>
    <row r="130" spans="1:27" ht="18" customHeight="1" x14ac:dyDescent="0.25">
      <c r="A130" s="1"/>
      <c r="B130" s="1"/>
      <c r="C130" s="1"/>
      <c r="D130" s="1"/>
      <c r="E130" s="1"/>
      <c r="F130" s="1"/>
      <c r="G130" s="1"/>
      <c r="H130" s="1"/>
      <c r="I130" s="1"/>
      <c r="J130" s="1"/>
      <c r="K130" s="1"/>
      <c r="Y130" s="5" t="str">
        <f t="shared" si="3"/>
        <v/>
      </c>
      <c r="Z130"/>
      <c r="AA130" s="7" t="s">
        <v>261</v>
      </c>
    </row>
    <row r="131" spans="1:27" ht="31.5" customHeight="1" x14ac:dyDescent="0.25">
      <c r="A131" s="1"/>
      <c r="B131" s="1"/>
      <c r="C131" s="1"/>
      <c r="D131" s="1"/>
      <c r="E131" s="1"/>
      <c r="F131" s="1"/>
      <c r="G131" s="1"/>
      <c r="H131" s="1"/>
      <c r="I131" s="1"/>
      <c r="J131" s="1"/>
      <c r="K131" s="1"/>
      <c r="Y131" s="5" t="str">
        <f t="shared" si="3"/>
        <v/>
      </c>
      <c r="Z131"/>
      <c r="AA131" s="7" t="s">
        <v>262</v>
      </c>
    </row>
    <row r="132" spans="1:27" ht="17.25" customHeight="1" x14ac:dyDescent="0.25">
      <c r="A132" s="1"/>
      <c r="B132" s="155" t="s">
        <v>263</v>
      </c>
      <c r="C132" s="155"/>
      <c r="D132" s="155"/>
      <c r="E132" s="155"/>
      <c r="F132" s="155"/>
      <c r="G132" s="155"/>
      <c r="H132" s="155"/>
      <c r="I132" s="155" t="s">
        <v>215</v>
      </c>
      <c r="J132" s="53" t="s">
        <v>264</v>
      </c>
      <c r="K132" s="1"/>
      <c r="Y132" s="5" t="str">
        <f t="shared" si="3"/>
        <v/>
      </c>
      <c r="Z132"/>
      <c r="AA132" s="7" t="s">
        <v>265</v>
      </c>
    </row>
    <row r="133" spans="1:27" ht="33" customHeight="1" x14ac:dyDescent="0.3">
      <c r="A133" s="1"/>
      <c r="B133" s="54"/>
      <c r="C133" s="44"/>
      <c r="D133" s="44"/>
      <c r="E133" s="44"/>
      <c r="F133" s="44"/>
      <c r="G133" s="55" t="s">
        <v>218</v>
      </c>
      <c r="H133" s="55" t="s">
        <v>219</v>
      </c>
      <c r="I133" s="156" t="s">
        <v>220</v>
      </c>
      <c r="J133" s="156"/>
      <c r="K133" s="1"/>
      <c r="Y133" s="5" t="str">
        <f t="shared" si="3"/>
        <v/>
      </c>
      <c r="Z133"/>
      <c r="AA133" s="7" t="s">
        <v>266</v>
      </c>
    </row>
    <row r="134" spans="1:27" ht="17.25" customHeight="1" x14ac:dyDescent="0.25">
      <c r="A134" s="1"/>
      <c r="B134" s="54" t="s">
        <v>267</v>
      </c>
      <c r="C134" s="44"/>
      <c r="D134" s="44"/>
      <c r="E134" s="44"/>
      <c r="F134" s="44"/>
      <c r="G134" s="44"/>
      <c r="H134" s="44"/>
      <c r="I134" s="147"/>
      <c r="J134" s="147"/>
      <c r="K134" s="1"/>
      <c r="Y134" s="5" t="str">
        <f t="shared" si="3"/>
        <v/>
      </c>
      <c r="Z134"/>
      <c r="AA134" s="7" t="s">
        <v>268</v>
      </c>
    </row>
    <row r="135" spans="1:27" ht="30.75" customHeight="1" x14ac:dyDescent="0.25">
      <c r="A135" s="1"/>
      <c r="B135" s="150" t="s">
        <v>269</v>
      </c>
      <c r="C135" s="150"/>
      <c r="D135" s="150"/>
      <c r="E135" s="150"/>
      <c r="F135" s="150"/>
      <c r="G135" s="45" t="s">
        <v>443</v>
      </c>
      <c r="H135" s="46"/>
      <c r="I135" s="151"/>
      <c r="J135" s="152"/>
      <c r="K135" s="1"/>
      <c r="Y135" s="5" t="str">
        <f t="shared" si="3"/>
        <v/>
      </c>
      <c r="Z135"/>
      <c r="AA135" s="7" t="s">
        <v>270</v>
      </c>
    </row>
    <row r="136" spans="1:27" ht="6.75" customHeight="1" x14ac:dyDescent="0.25">
      <c r="A136" s="1"/>
      <c r="B136" s="2"/>
      <c r="C136" s="3"/>
      <c r="D136" s="3"/>
      <c r="E136" s="3"/>
      <c r="F136" s="3"/>
      <c r="G136" s="50"/>
      <c r="H136" s="51"/>
      <c r="I136" s="3"/>
      <c r="J136" s="3"/>
      <c r="K136" s="1"/>
      <c r="Y136" s="5" t="str">
        <f t="shared" si="3"/>
        <v/>
      </c>
      <c r="Z136"/>
      <c r="AA136" s="7" t="s">
        <v>271</v>
      </c>
    </row>
    <row r="137" spans="1:27" ht="34.5" customHeight="1" x14ac:dyDescent="0.25">
      <c r="A137" s="1"/>
      <c r="B137" s="150" t="s">
        <v>272</v>
      </c>
      <c r="C137" s="150"/>
      <c r="D137" s="150"/>
      <c r="E137" s="150"/>
      <c r="F137" s="150"/>
      <c r="G137" s="45" t="s">
        <v>443</v>
      </c>
      <c r="H137" s="46"/>
      <c r="I137" s="151"/>
      <c r="J137" s="152"/>
      <c r="K137" s="1"/>
      <c r="Y137" s="5" t="str">
        <f t="shared" si="3"/>
        <v/>
      </c>
      <c r="Z137"/>
      <c r="AA137" s="7" t="s">
        <v>273</v>
      </c>
    </row>
    <row r="138" spans="1:27" ht="10.5" customHeight="1" x14ac:dyDescent="0.25">
      <c r="A138" s="1"/>
      <c r="B138" s="2"/>
      <c r="C138" s="3"/>
      <c r="D138" s="3"/>
      <c r="E138" s="3"/>
      <c r="F138" s="3"/>
      <c r="G138" s="50"/>
      <c r="H138" s="51"/>
      <c r="I138" s="3"/>
      <c r="J138" s="3"/>
      <c r="K138" s="1"/>
      <c r="Y138" s="5" t="str">
        <f t="shared" si="3"/>
        <v/>
      </c>
      <c r="Z138"/>
      <c r="AA138" s="7" t="s">
        <v>274</v>
      </c>
    </row>
    <row r="139" spans="1:27" ht="24" customHeight="1" x14ac:dyDescent="0.25">
      <c r="A139" s="1"/>
      <c r="B139" s="150" t="s">
        <v>275</v>
      </c>
      <c r="C139" s="150"/>
      <c r="D139" s="150"/>
      <c r="E139" s="150"/>
      <c r="F139" s="150"/>
      <c r="G139" s="45" t="s">
        <v>443</v>
      </c>
      <c r="H139" s="46"/>
      <c r="I139" s="151" t="s">
        <v>448</v>
      </c>
      <c r="J139" s="152"/>
      <c r="K139" s="1"/>
      <c r="Y139" s="5" t="str">
        <f t="shared" si="3"/>
        <v/>
      </c>
      <c r="Z139"/>
      <c r="AA139" s="7" t="s">
        <v>276</v>
      </c>
    </row>
    <row r="140" spans="1:27" ht="9.75" customHeight="1" x14ac:dyDescent="0.25">
      <c r="A140" s="1"/>
      <c r="B140" s="2"/>
      <c r="C140" s="3"/>
      <c r="D140" s="3"/>
      <c r="E140" s="3"/>
      <c r="F140" s="3"/>
      <c r="G140" s="50"/>
      <c r="H140" s="51"/>
      <c r="I140" s="3"/>
      <c r="J140" s="3"/>
      <c r="K140" s="1"/>
      <c r="Y140" s="5" t="str">
        <f t="shared" si="3"/>
        <v/>
      </c>
      <c r="Z140"/>
      <c r="AA140" s="7" t="s">
        <v>277</v>
      </c>
    </row>
    <row r="141" spans="1:27" ht="27" customHeight="1" x14ac:dyDescent="0.25">
      <c r="A141" s="1"/>
      <c r="B141" s="150" t="s">
        <v>278</v>
      </c>
      <c r="C141" s="150"/>
      <c r="D141" s="150"/>
      <c r="E141" s="150"/>
      <c r="F141" s="150"/>
      <c r="G141" s="45" t="s">
        <v>443</v>
      </c>
      <c r="H141" s="46"/>
      <c r="I141" s="151" t="s">
        <v>445</v>
      </c>
      <c r="J141" s="152"/>
      <c r="K141" s="1"/>
      <c r="Y141" s="5" t="str">
        <f t="shared" si="3"/>
        <v/>
      </c>
      <c r="Z141"/>
      <c r="AA141" s="7" t="s">
        <v>279</v>
      </c>
    </row>
    <row r="142" spans="1:27" ht="6.75" customHeight="1" x14ac:dyDescent="0.25">
      <c r="A142" s="1"/>
      <c r="B142" s="2"/>
      <c r="C142" s="3"/>
      <c r="D142" s="3"/>
      <c r="E142" s="3"/>
      <c r="F142" s="3"/>
      <c r="G142" s="50"/>
      <c r="H142" s="51"/>
      <c r="I142" s="3"/>
      <c r="J142" s="3"/>
      <c r="K142" s="1"/>
      <c r="Y142" s="5" t="str">
        <f t="shared" si="3"/>
        <v/>
      </c>
      <c r="Z142"/>
      <c r="AA142" s="7" t="s">
        <v>280</v>
      </c>
    </row>
    <row r="143" spans="1:27" ht="17.25" customHeight="1" x14ac:dyDescent="0.25">
      <c r="A143" s="1"/>
      <c r="B143" s="159" t="s">
        <v>281</v>
      </c>
      <c r="C143" s="159"/>
      <c r="D143" s="3"/>
      <c r="E143" s="3"/>
      <c r="F143" s="3"/>
      <c r="G143" s="50"/>
      <c r="H143" s="51"/>
      <c r="I143" s="3"/>
      <c r="J143" s="3"/>
      <c r="K143" s="1"/>
      <c r="Y143" s="5" t="str">
        <f t="shared" si="3"/>
        <v/>
      </c>
      <c r="Z143"/>
      <c r="AA143" s="7" t="s">
        <v>282</v>
      </c>
    </row>
    <row r="144" spans="1:27" ht="31.5" customHeight="1" x14ac:dyDescent="0.25">
      <c r="A144" s="1"/>
      <c r="B144" s="160" t="s">
        <v>283</v>
      </c>
      <c r="C144" s="160"/>
      <c r="D144" s="160"/>
      <c r="E144" s="160"/>
      <c r="F144" s="160"/>
      <c r="G144" s="45" t="s">
        <v>443</v>
      </c>
      <c r="H144" s="46"/>
      <c r="I144" s="151"/>
      <c r="J144" s="152"/>
      <c r="K144" s="1"/>
      <c r="Y144" s="5" t="str">
        <f t="shared" si="3"/>
        <v/>
      </c>
      <c r="Z144"/>
      <c r="AA144" s="23" t="s">
        <v>284</v>
      </c>
    </row>
    <row r="145" spans="1:27" ht="6.75" customHeight="1" x14ac:dyDescent="0.25">
      <c r="A145" s="1"/>
      <c r="B145" s="2"/>
      <c r="C145" s="3"/>
      <c r="D145" s="3"/>
      <c r="E145" s="3"/>
      <c r="F145" s="3"/>
      <c r="G145" s="50"/>
      <c r="H145" s="51"/>
      <c r="I145" s="3"/>
      <c r="J145" s="3"/>
      <c r="K145" s="1"/>
      <c r="Y145" s="5" t="str">
        <f t="shared" si="3"/>
        <v/>
      </c>
      <c r="Z145"/>
      <c r="AA145" s="7" t="s">
        <v>285</v>
      </c>
    </row>
    <row r="146" spans="1:27" ht="41.25" customHeight="1" x14ac:dyDescent="0.25">
      <c r="A146" s="1"/>
      <c r="B146" s="160" t="s">
        <v>286</v>
      </c>
      <c r="C146" s="160"/>
      <c r="D146" s="160"/>
      <c r="E146" s="160"/>
      <c r="F146" s="160"/>
      <c r="G146" s="45" t="s">
        <v>443</v>
      </c>
      <c r="H146" s="46"/>
      <c r="I146" s="151"/>
      <c r="J146" s="152"/>
      <c r="K146" s="1"/>
      <c r="Y146" s="5" t="str">
        <f t="shared" si="3"/>
        <v/>
      </c>
      <c r="Z146"/>
      <c r="AA146" s="7" t="s">
        <v>287</v>
      </c>
    </row>
    <row r="147" spans="1:27" ht="6.75" customHeight="1" x14ac:dyDescent="0.25">
      <c r="A147" s="1"/>
      <c r="B147" s="2"/>
      <c r="C147" s="3"/>
      <c r="D147" s="3"/>
      <c r="E147" s="3"/>
      <c r="F147" s="3"/>
      <c r="G147" s="50"/>
      <c r="H147" s="51"/>
      <c r="I147" s="3"/>
      <c r="J147" s="3"/>
      <c r="K147" s="1"/>
      <c r="Y147" s="5" t="str">
        <f t="shared" si="3"/>
        <v/>
      </c>
      <c r="Z147"/>
      <c r="AA147" s="7" t="s">
        <v>288</v>
      </c>
    </row>
    <row r="148" spans="1:27" ht="36" customHeight="1" x14ac:dyDescent="0.25">
      <c r="A148" s="1"/>
      <c r="B148" s="160" t="s">
        <v>289</v>
      </c>
      <c r="C148" s="160"/>
      <c r="D148" s="160"/>
      <c r="E148" s="160"/>
      <c r="F148" s="160"/>
      <c r="G148" s="45" t="s">
        <v>443</v>
      </c>
      <c r="H148" s="46"/>
      <c r="I148" s="151"/>
      <c r="J148" s="152"/>
      <c r="K148" s="1"/>
      <c r="Y148" s="5" t="str">
        <f t="shared" si="3"/>
        <v/>
      </c>
      <c r="Z148"/>
      <c r="AA148" s="7" t="s">
        <v>290</v>
      </c>
    </row>
    <row r="149" spans="1:27" ht="6.75" customHeight="1" x14ac:dyDescent="0.25">
      <c r="A149" s="1"/>
      <c r="B149" s="2"/>
      <c r="C149" s="3"/>
      <c r="D149" s="3"/>
      <c r="E149" s="3"/>
      <c r="F149" s="3"/>
      <c r="G149" s="50"/>
      <c r="H149" s="51"/>
      <c r="I149" s="3"/>
      <c r="J149" s="3"/>
      <c r="K149" s="1"/>
      <c r="Y149" s="5" t="str">
        <f t="shared" si="3"/>
        <v/>
      </c>
      <c r="Z149"/>
      <c r="AA149" s="7" t="s">
        <v>291</v>
      </c>
    </row>
    <row r="150" spans="1:27" ht="31.5" customHeight="1" x14ac:dyDescent="0.25">
      <c r="A150" s="1"/>
      <c r="B150" s="160" t="s">
        <v>292</v>
      </c>
      <c r="C150" s="160"/>
      <c r="D150" s="160"/>
      <c r="E150" s="160"/>
      <c r="F150" s="160"/>
      <c r="G150" s="45" t="s">
        <v>443</v>
      </c>
      <c r="H150" s="46"/>
      <c r="I150" s="151"/>
      <c r="J150" s="152"/>
      <c r="K150" s="1"/>
      <c r="Y150" s="5" t="str">
        <f t="shared" si="3"/>
        <v/>
      </c>
      <c r="Z150"/>
      <c r="AA150" s="7" t="s">
        <v>293</v>
      </c>
    </row>
    <row r="151" spans="1:27" ht="6.75" customHeight="1" x14ac:dyDescent="0.25">
      <c r="A151" s="1"/>
      <c r="B151" s="2"/>
      <c r="C151" s="3"/>
      <c r="D151" s="3"/>
      <c r="E151" s="3"/>
      <c r="F151" s="3"/>
      <c r="G151" s="50"/>
      <c r="H151" s="51"/>
      <c r="I151" s="3"/>
      <c r="J151" s="3"/>
      <c r="K151" s="1"/>
      <c r="Y151" s="5" t="str">
        <f t="shared" si="3"/>
        <v/>
      </c>
      <c r="Z151"/>
      <c r="AA151" s="23" t="s">
        <v>294</v>
      </c>
    </row>
    <row r="152" spans="1:27" ht="31.5" customHeight="1" x14ac:dyDescent="0.25">
      <c r="A152" s="1"/>
      <c r="B152" s="160" t="s">
        <v>295</v>
      </c>
      <c r="C152" s="160"/>
      <c r="D152" s="160"/>
      <c r="E152" s="160"/>
      <c r="F152" s="160"/>
      <c r="G152" s="45" t="s">
        <v>443</v>
      </c>
      <c r="H152" s="46"/>
      <c r="I152" s="151"/>
      <c r="J152" s="152"/>
      <c r="K152" s="1"/>
      <c r="Y152" s="5" t="str">
        <f t="shared" si="3"/>
        <v/>
      </c>
      <c r="Z152"/>
      <c r="AA152" s="7" t="s">
        <v>296</v>
      </c>
    </row>
    <row r="153" spans="1:27" ht="6.75" customHeight="1" x14ac:dyDescent="0.25">
      <c r="A153" s="1"/>
      <c r="B153" s="2"/>
      <c r="C153" s="3"/>
      <c r="D153" s="3"/>
      <c r="E153" s="3"/>
      <c r="F153" s="3"/>
      <c r="G153" s="50"/>
      <c r="H153" s="51"/>
      <c r="I153" s="3"/>
      <c r="J153" s="3"/>
      <c r="K153" s="1"/>
      <c r="Y153" s="5" t="str">
        <f t="shared" si="3"/>
        <v/>
      </c>
      <c r="Z153"/>
      <c r="AA153" s="7" t="s">
        <v>297</v>
      </c>
    </row>
    <row r="154" spans="1:27" ht="31.5" customHeight="1" x14ac:dyDescent="0.25">
      <c r="A154" s="1"/>
      <c r="B154" s="160" t="s">
        <v>298</v>
      </c>
      <c r="C154" s="160"/>
      <c r="D154" s="160"/>
      <c r="E154" s="160"/>
      <c r="F154" s="160"/>
      <c r="G154" s="45" t="s">
        <v>443</v>
      </c>
      <c r="H154" s="46"/>
      <c r="I154" s="151"/>
      <c r="J154" s="152"/>
      <c r="K154" s="1"/>
      <c r="Y154" s="5" t="str">
        <f t="shared" si="3"/>
        <v/>
      </c>
      <c r="Z154"/>
      <c r="AA154" s="7" t="s">
        <v>299</v>
      </c>
    </row>
    <row r="155" spans="1:27" ht="6.75" customHeight="1" x14ac:dyDescent="0.25">
      <c r="A155" s="1"/>
      <c r="B155" s="2"/>
      <c r="C155" s="3"/>
      <c r="D155" s="3"/>
      <c r="E155" s="3"/>
      <c r="F155" s="3"/>
      <c r="G155" s="50"/>
      <c r="H155" s="51"/>
      <c r="I155" s="3"/>
      <c r="J155" s="3"/>
      <c r="K155" s="1"/>
      <c r="Y155" s="5" t="str">
        <f t="shared" si="3"/>
        <v/>
      </c>
      <c r="Z155"/>
      <c r="AA155" s="7" t="s">
        <v>300</v>
      </c>
    </row>
    <row r="156" spans="1:27" ht="31.5" customHeight="1" x14ac:dyDescent="0.25">
      <c r="A156" s="1"/>
      <c r="B156" s="160" t="s">
        <v>301</v>
      </c>
      <c r="C156" s="160"/>
      <c r="D156" s="160"/>
      <c r="E156" s="160"/>
      <c r="F156" s="160"/>
      <c r="G156" s="45" t="s">
        <v>443</v>
      </c>
      <c r="H156" s="46"/>
      <c r="I156" s="151"/>
      <c r="J156" s="152"/>
      <c r="K156" s="1"/>
      <c r="Y156" s="5" t="str">
        <f t="shared" si="3"/>
        <v/>
      </c>
      <c r="Z156"/>
      <c r="AA156" s="7" t="s">
        <v>302</v>
      </c>
    </row>
    <row r="157" spans="1:27" ht="6.75" customHeight="1" x14ac:dyDescent="0.25">
      <c r="A157" s="1"/>
      <c r="B157" s="2"/>
      <c r="C157" s="3"/>
      <c r="D157" s="3"/>
      <c r="E157" s="3"/>
      <c r="F157" s="3"/>
      <c r="G157" s="50"/>
      <c r="H157" s="51"/>
      <c r="I157" s="3"/>
      <c r="J157" s="3"/>
      <c r="K157" s="1"/>
      <c r="Y157" s="5" t="str">
        <f t="shared" si="3"/>
        <v/>
      </c>
      <c r="Z157"/>
      <c r="AA157" s="7" t="s">
        <v>303</v>
      </c>
    </row>
    <row r="158" spans="1:27" ht="35.25" customHeight="1" x14ac:dyDescent="0.25">
      <c r="A158" s="1"/>
      <c r="B158" s="160" t="s">
        <v>304</v>
      </c>
      <c r="C158" s="160"/>
      <c r="D158" s="160"/>
      <c r="E158" s="160"/>
      <c r="F158" s="160"/>
      <c r="G158" s="45" t="s">
        <v>443</v>
      </c>
      <c r="H158" s="46"/>
      <c r="I158" s="151"/>
      <c r="J158" s="152"/>
      <c r="K158" s="1"/>
      <c r="Y158" s="5" t="str">
        <f t="shared" si="3"/>
        <v/>
      </c>
      <c r="Z158"/>
      <c r="AA158" s="7" t="s">
        <v>305</v>
      </c>
    </row>
    <row r="159" spans="1:27" ht="5.25" customHeight="1" x14ac:dyDescent="0.25">
      <c r="A159" s="1"/>
      <c r="B159" s="2"/>
      <c r="C159" s="3"/>
      <c r="D159" s="3"/>
      <c r="E159" s="3"/>
      <c r="F159" s="3"/>
      <c r="G159" s="50"/>
      <c r="H159" s="51"/>
      <c r="I159" s="3"/>
      <c r="J159" s="3"/>
      <c r="K159" s="1"/>
      <c r="Y159" s="5" t="str">
        <f t="shared" si="3"/>
        <v/>
      </c>
      <c r="Z159"/>
      <c r="AA159" s="7" t="s">
        <v>306</v>
      </c>
    </row>
    <row r="160" spans="1:27" ht="36.75" customHeight="1" x14ac:dyDescent="0.25">
      <c r="A160" s="1"/>
      <c r="B160" s="160" t="s">
        <v>307</v>
      </c>
      <c r="C160" s="160"/>
      <c r="D160" s="160"/>
      <c r="E160" s="160"/>
      <c r="F160" s="160"/>
      <c r="G160" s="45" t="s">
        <v>443</v>
      </c>
      <c r="H160" s="46"/>
      <c r="I160" s="151"/>
      <c r="J160" s="152"/>
      <c r="K160" s="1"/>
      <c r="Y160" s="5" t="str">
        <f t="shared" si="3"/>
        <v/>
      </c>
      <c r="Z160"/>
      <c r="AA160" s="7" t="s">
        <v>308</v>
      </c>
    </row>
    <row r="161" spans="1:27" ht="6.75" customHeight="1" x14ac:dyDescent="0.25">
      <c r="A161" s="1"/>
      <c r="B161" s="2"/>
      <c r="C161" s="3"/>
      <c r="D161" s="3"/>
      <c r="E161" s="3"/>
      <c r="F161" s="3"/>
      <c r="G161" s="50"/>
      <c r="H161" s="51"/>
      <c r="I161" s="3"/>
      <c r="J161" s="3"/>
      <c r="K161" s="1"/>
      <c r="Y161" s="5" t="str">
        <f t="shared" si="3"/>
        <v/>
      </c>
      <c r="Z161"/>
      <c r="AA161" s="7" t="s">
        <v>309</v>
      </c>
    </row>
    <row r="162" spans="1:27" ht="33.75" customHeight="1" x14ac:dyDescent="0.25">
      <c r="A162" s="1"/>
      <c r="B162" s="160" t="s">
        <v>310</v>
      </c>
      <c r="C162" s="160"/>
      <c r="D162" s="160"/>
      <c r="E162" s="160"/>
      <c r="F162" s="160"/>
      <c r="G162" s="45" t="s">
        <v>443</v>
      </c>
      <c r="H162" s="46"/>
      <c r="I162" s="151"/>
      <c r="J162" s="152"/>
      <c r="K162" s="1"/>
      <c r="Y162" s="5" t="str">
        <f t="shared" si="3"/>
        <v/>
      </c>
      <c r="Z162"/>
      <c r="AA162" s="7" t="s">
        <v>311</v>
      </c>
    </row>
    <row r="163" spans="1:27" ht="6.75" customHeight="1" x14ac:dyDescent="0.25">
      <c r="A163" s="1"/>
      <c r="B163" s="2"/>
      <c r="C163" s="3"/>
      <c r="D163" s="3"/>
      <c r="E163" s="3"/>
      <c r="F163" s="3"/>
      <c r="G163" s="50"/>
      <c r="H163" s="51"/>
      <c r="I163" s="3"/>
      <c r="J163" s="3"/>
      <c r="K163" s="1"/>
      <c r="Y163" s="5" t="str">
        <f t="shared" si="3"/>
        <v/>
      </c>
      <c r="Z163"/>
      <c r="AA163" s="7" t="s">
        <v>312</v>
      </c>
    </row>
    <row r="164" spans="1:27" ht="27.75" customHeight="1" x14ac:dyDescent="0.25">
      <c r="A164" s="1"/>
      <c r="B164" s="160" t="s">
        <v>313</v>
      </c>
      <c r="C164" s="160"/>
      <c r="D164" s="160"/>
      <c r="E164" s="160"/>
      <c r="F164" s="160"/>
      <c r="G164" s="45" t="s">
        <v>443</v>
      </c>
      <c r="H164" s="46"/>
      <c r="I164" s="151"/>
      <c r="J164" s="152"/>
      <c r="K164" s="1"/>
      <c r="Y164" s="5" t="str">
        <f t="shared" si="3"/>
        <v/>
      </c>
      <c r="Z164"/>
      <c r="AA164" s="7" t="s">
        <v>314</v>
      </c>
    </row>
    <row r="165" spans="1:27" ht="11.25" customHeight="1" x14ac:dyDescent="0.25">
      <c r="A165" s="1"/>
      <c r="B165" s="2"/>
      <c r="C165" s="3"/>
      <c r="D165" s="3"/>
      <c r="E165" s="3"/>
      <c r="F165" s="3"/>
      <c r="G165" s="50"/>
      <c r="H165" s="51"/>
      <c r="I165" s="3"/>
      <c r="J165" s="3"/>
      <c r="K165" s="1"/>
      <c r="Y165" s="5" t="str">
        <f t="shared" si="3"/>
        <v/>
      </c>
      <c r="Z165"/>
      <c r="AA165" s="7" t="s">
        <v>315</v>
      </c>
    </row>
    <row r="166" spans="1:27" ht="47.25" customHeight="1" x14ac:dyDescent="0.25">
      <c r="A166" s="1"/>
      <c r="B166" s="150" t="s">
        <v>316</v>
      </c>
      <c r="C166" s="150"/>
      <c r="D166" s="150"/>
      <c r="E166" s="150"/>
      <c r="F166" s="150"/>
      <c r="G166" s="45" t="s">
        <v>443</v>
      </c>
      <c r="H166" s="46"/>
      <c r="I166" s="151" t="s">
        <v>452</v>
      </c>
      <c r="J166" s="152"/>
      <c r="K166" s="1"/>
      <c r="Y166" s="5" t="str">
        <f t="shared" si="3"/>
        <v/>
      </c>
      <c r="Z166"/>
      <c r="AA166" s="7" t="s">
        <v>317</v>
      </c>
    </row>
    <row r="167" spans="1:27" ht="24.75" customHeight="1" x14ac:dyDescent="0.25">
      <c r="A167" s="1"/>
      <c r="B167" s="2"/>
      <c r="C167" s="3"/>
      <c r="D167" s="3"/>
      <c r="E167" s="3"/>
      <c r="F167" s="3"/>
      <c r="G167" s="50"/>
      <c r="H167" s="51"/>
      <c r="I167" s="3"/>
      <c r="J167" s="3"/>
      <c r="K167" s="1"/>
      <c r="Y167" s="5" t="str">
        <f t="shared" si="3"/>
        <v/>
      </c>
      <c r="Z167"/>
      <c r="AA167" s="7" t="s">
        <v>318</v>
      </c>
    </row>
    <row r="168" spans="1:27" ht="50.25" customHeight="1" x14ac:dyDescent="0.25">
      <c r="A168" s="1"/>
      <c r="B168" s="150" t="s">
        <v>319</v>
      </c>
      <c r="C168" s="150"/>
      <c r="D168" s="150"/>
      <c r="E168" s="150"/>
      <c r="F168" s="150"/>
      <c r="G168" s="45" t="s">
        <v>443</v>
      </c>
      <c r="H168" s="46"/>
      <c r="I168" s="151"/>
      <c r="J168" s="152"/>
      <c r="K168" s="1"/>
      <c r="Y168" s="5" t="str">
        <f t="shared" si="3"/>
        <v/>
      </c>
      <c r="Z168"/>
      <c r="AA168" s="7" t="s">
        <v>320</v>
      </c>
    </row>
    <row r="169" spans="1:27" ht="7.5" customHeight="1" x14ac:dyDescent="0.25">
      <c r="A169" s="1"/>
      <c r="B169" s="2"/>
      <c r="C169" s="3"/>
      <c r="D169" s="3"/>
      <c r="E169" s="3"/>
      <c r="F169" s="3"/>
      <c r="G169" s="50"/>
      <c r="H169" s="51"/>
      <c r="I169" s="3"/>
      <c r="J169" s="3"/>
      <c r="K169" s="1"/>
      <c r="Y169" s="5" t="str">
        <f t="shared" ref="Y169:Y237" si="4">+SUBSTITUTE(Z169," ","_")</f>
        <v/>
      </c>
      <c r="Z169"/>
      <c r="AA169" s="7" t="s">
        <v>321</v>
      </c>
    </row>
    <row r="170" spans="1:27" ht="51" customHeight="1" x14ac:dyDescent="0.25">
      <c r="A170" s="1"/>
      <c r="B170" s="150" t="s">
        <v>322</v>
      </c>
      <c r="C170" s="150"/>
      <c r="D170" s="150"/>
      <c r="E170" s="150"/>
      <c r="F170" s="150"/>
      <c r="G170" s="45"/>
      <c r="H170" s="46" t="s">
        <v>219</v>
      </c>
      <c r="I170" s="151"/>
      <c r="J170" s="152"/>
      <c r="K170" s="1"/>
      <c r="Y170" s="5" t="str">
        <f t="shared" si="4"/>
        <v/>
      </c>
      <c r="Z170"/>
      <c r="AA170" s="7" t="s">
        <v>323</v>
      </c>
    </row>
    <row r="171" spans="1:27" ht="24" customHeight="1" x14ac:dyDescent="0.25">
      <c r="A171" s="1"/>
      <c r="B171" s="1"/>
      <c r="C171" s="1"/>
      <c r="D171" s="1"/>
      <c r="E171" s="1"/>
      <c r="F171" s="1"/>
      <c r="G171" s="56"/>
      <c r="H171" s="56"/>
      <c r="I171" s="1"/>
      <c r="J171" s="1"/>
      <c r="K171" s="1"/>
      <c r="Y171" s="5" t="str">
        <f t="shared" si="4"/>
        <v/>
      </c>
      <c r="Z171"/>
      <c r="AA171" s="7" t="s">
        <v>324</v>
      </c>
    </row>
    <row r="172" spans="1:27" ht="29.25" customHeight="1" x14ac:dyDescent="0.25">
      <c r="A172" s="1"/>
      <c r="B172" s="114" t="s">
        <v>325</v>
      </c>
      <c r="C172" s="114"/>
      <c r="D172" s="114"/>
      <c r="E172" s="114"/>
      <c r="F172" s="114"/>
      <c r="G172" s="114"/>
      <c r="H172" s="114"/>
      <c r="I172" s="114"/>
      <c r="J172" s="114"/>
      <c r="K172" s="1"/>
      <c r="Y172" s="5" t="str">
        <f t="shared" si="4"/>
        <v/>
      </c>
      <c r="Z172"/>
      <c r="AA172" s="7" t="s">
        <v>326</v>
      </c>
    </row>
    <row r="173" spans="1:27" ht="21" customHeight="1" x14ac:dyDescent="0.25">
      <c r="A173" s="1"/>
      <c r="B173" s="2"/>
      <c r="C173" s="21"/>
      <c r="D173" s="21"/>
      <c r="E173" s="36" t="s">
        <v>327</v>
      </c>
      <c r="F173" s="36" t="s">
        <v>328</v>
      </c>
      <c r="G173" s="36" t="s">
        <v>329</v>
      </c>
      <c r="H173" s="13"/>
      <c r="I173" s="161" t="s">
        <v>330</v>
      </c>
      <c r="J173" s="161"/>
      <c r="K173" s="1"/>
      <c r="Y173" s="5" t="str">
        <f t="shared" si="4"/>
        <v/>
      </c>
      <c r="Z173"/>
      <c r="AA173" s="7" t="s">
        <v>331</v>
      </c>
    </row>
    <row r="174" spans="1:27" ht="18.75" customHeight="1" x14ac:dyDescent="0.25">
      <c r="A174" s="1"/>
      <c r="B174" s="2"/>
      <c r="C174" s="57" t="s">
        <v>191</v>
      </c>
      <c r="D174" s="37">
        <v>2019</v>
      </c>
      <c r="E174" s="58">
        <v>9.09</v>
      </c>
      <c r="F174" s="58">
        <v>6.31</v>
      </c>
      <c r="G174" s="59">
        <v>0.38</v>
      </c>
      <c r="H174" s="13"/>
      <c r="I174" s="161"/>
      <c r="J174" s="161"/>
      <c r="K174" s="1"/>
      <c r="Y174" s="5" t="str">
        <f t="shared" si="4"/>
        <v/>
      </c>
      <c r="Z174"/>
      <c r="AA174" s="7" t="s">
        <v>332</v>
      </c>
    </row>
    <row r="175" spans="1:27" ht="18.75" customHeight="1" x14ac:dyDescent="0.25">
      <c r="A175" s="1"/>
      <c r="B175" s="2"/>
      <c r="C175" s="57" t="s">
        <v>191</v>
      </c>
      <c r="D175" s="37">
        <v>2018</v>
      </c>
      <c r="E175" s="58">
        <v>9.57</v>
      </c>
      <c r="F175" s="58">
        <v>6.01</v>
      </c>
      <c r="G175" s="59">
        <v>0.16</v>
      </c>
      <c r="H175" s="13"/>
      <c r="I175" s="161" t="s">
        <v>333</v>
      </c>
      <c r="J175" s="161"/>
      <c r="K175" s="1"/>
      <c r="Y175" s="5" t="str">
        <f t="shared" si="4"/>
        <v/>
      </c>
      <c r="Z175"/>
      <c r="AA175" s="7" t="s">
        <v>334</v>
      </c>
    </row>
    <row r="176" spans="1:27" ht="18.75" customHeight="1" thickBot="1" x14ac:dyDescent="0.3">
      <c r="A176" s="1"/>
      <c r="B176" s="2"/>
      <c r="C176" s="57" t="s">
        <v>191</v>
      </c>
      <c r="D176" s="60">
        <v>2017</v>
      </c>
      <c r="E176" s="58">
        <v>11.26</v>
      </c>
      <c r="F176" s="58">
        <v>6.8</v>
      </c>
      <c r="G176" s="59">
        <v>0.19</v>
      </c>
      <c r="H176" s="13"/>
      <c r="I176" s="161"/>
      <c r="J176" s="161"/>
      <c r="K176" s="1"/>
      <c r="Y176" s="5" t="str">
        <f t="shared" si="4"/>
        <v/>
      </c>
      <c r="Z176"/>
      <c r="AA176" s="7" t="s">
        <v>335</v>
      </c>
    </row>
    <row r="177" spans="1:27" ht="32.25" customHeight="1" thickBot="1" x14ac:dyDescent="0.3">
      <c r="A177" s="1"/>
      <c r="B177" s="4"/>
      <c r="C177" s="169"/>
      <c r="D177" s="170"/>
      <c r="E177" s="61"/>
      <c r="F177" s="62"/>
      <c r="G177" s="63"/>
      <c r="H177" s="13"/>
      <c r="I177" s="171" t="s">
        <v>336</v>
      </c>
      <c r="J177" s="171"/>
      <c r="K177" s="1"/>
      <c r="Y177" s="5" t="str">
        <f t="shared" si="4"/>
        <v/>
      </c>
      <c r="Z177"/>
      <c r="AA177" s="7" t="s">
        <v>337</v>
      </c>
    </row>
    <row r="178" spans="1:27" ht="24.75" customHeight="1" x14ac:dyDescent="0.25">
      <c r="A178" s="1"/>
      <c r="B178" s="144" t="s">
        <v>207</v>
      </c>
      <c r="C178" s="144"/>
      <c r="D178" s="144"/>
      <c r="E178" s="144"/>
      <c r="F178" s="144"/>
      <c r="G178" s="144"/>
      <c r="H178" s="144"/>
      <c r="I178" s="144"/>
      <c r="J178" s="144"/>
      <c r="K178" s="1"/>
      <c r="Y178" s="5" t="str">
        <f t="shared" si="4"/>
        <v/>
      </c>
      <c r="Z178"/>
      <c r="AA178" s="7" t="s">
        <v>338</v>
      </c>
    </row>
    <row r="179" spans="1:27" ht="24.75" customHeight="1" x14ac:dyDescent="0.25">
      <c r="A179" s="1"/>
      <c r="B179" s="39"/>
      <c r="C179" s="145"/>
      <c r="D179" s="145"/>
      <c r="E179" s="145"/>
      <c r="F179" s="145"/>
      <c r="G179" s="145"/>
      <c r="H179" s="145"/>
      <c r="I179" s="145"/>
      <c r="J179" s="145"/>
      <c r="K179" s="1"/>
      <c r="Y179" s="5" t="str">
        <f t="shared" si="4"/>
        <v/>
      </c>
      <c r="Z179"/>
      <c r="AA179" s="7" t="s">
        <v>339</v>
      </c>
    </row>
    <row r="180" spans="1:27" ht="24.75" customHeight="1" x14ac:dyDescent="0.25">
      <c r="A180" s="1"/>
      <c r="B180" s="39"/>
      <c r="C180" s="145"/>
      <c r="D180" s="145"/>
      <c r="E180" s="145"/>
      <c r="F180" s="145"/>
      <c r="G180" s="145"/>
      <c r="H180" s="145"/>
      <c r="I180" s="145"/>
      <c r="J180" s="145"/>
      <c r="K180" s="1"/>
      <c r="Y180" s="5" t="str">
        <f t="shared" si="4"/>
        <v/>
      </c>
      <c r="Z180"/>
      <c r="AA180" s="7" t="s">
        <v>340</v>
      </c>
    </row>
    <row r="181" spans="1:27" ht="10.5" customHeight="1" x14ac:dyDescent="0.25">
      <c r="A181" s="1"/>
      <c r="B181" s="4"/>
      <c r="C181" s="13"/>
      <c r="D181" s="13"/>
      <c r="E181" s="13"/>
      <c r="F181" s="13"/>
      <c r="G181" s="13"/>
      <c r="H181" s="13"/>
      <c r="I181" s="13"/>
      <c r="J181" s="13"/>
      <c r="K181" s="1"/>
      <c r="Y181" s="5" t="str">
        <f t="shared" si="4"/>
        <v/>
      </c>
      <c r="Z181"/>
      <c r="AA181" s="7" t="s">
        <v>341</v>
      </c>
    </row>
    <row r="182" spans="1:27" ht="9.75" customHeight="1" x14ac:dyDescent="0.25">
      <c r="A182" s="1"/>
      <c r="B182" s="4"/>
      <c r="C182" s="13"/>
      <c r="D182" s="13"/>
      <c r="E182" s="13"/>
      <c r="F182" s="13"/>
      <c r="G182" s="13"/>
      <c r="H182" s="13"/>
      <c r="I182" s="13"/>
      <c r="J182" s="13"/>
      <c r="K182" s="1"/>
      <c r="Y182" s="5" t="str">
        <f t="shared" si="4"/>
        <v/>
      </c>
      <c r="Z182"/>
      <c r="AA182" s="7" t="s">
        <v>342</v>
      </c>
    </row>
    <row r="183" spans="1:27" ht="24" customHeight="1" x14ac:dyDescent="0.25">
      <c r="A183" s="1"/>
      <c r="B183" s="162" t="s">
        <v>343</v>
      </c>
      <c r="C183" s="162"/>
      <c r="D183" s="162"/>
      <c r="E183" s="162"/>
      <c r="F183" s="162"/>
      <c r="G183" s="162"/>
      <c r="H183" s="162"/>
      <c r="I183" s="162" t="s">
        <v>215</v>
      </c>
      <c r="J183" s="64" t="s">
        <v>344</v>
      </c>
      <c r="K183" s="1"/>
      <c r="Y183" s="5" t="str">
        <f t="shared" si="4"/>
        <v/>
      </c>
      <c r="Z183"/>
      <c r="AA183" s="7" t="s">
        <v>345</v>
      </c>
    </row>
    <row r="184" spans="1:27" ht="7.5" customHeight="1" x14ac:dyDescent="0.25">
      <c r="A184" s="1"/>
      <c r="B184" s="65"/>
      <c r="C184" s="26"/>
      <c r="D184" s="26"/>
      <c r="E184" s="26"/>
      <c r="F184" s="26"/>
      <c r="G184" s="26"/>
      <c r="H184" s="26"/>
      <c r="I184" s="26"/>
      <c r="J184" s="26"/>
      <c r="K184" s="1"/>
      <c r="Y184" s="5" t="str">
        <f t="shared" si="4"/>
        <v/>
      </c>
      <c r="Z184"/>
      <c r="AA184" s="7" t="s">
        <v>346</v>
      </c>
    </row>
    <row r="185" spans="1:27" ht="24" customHeight="1" x14ac:dyDescent="0.25">
      <c r="A185" s="1"/>
      <c r="B185" s="163" t="s">
        <v>347</v>
      </c>
      <c r="C185" s="163"/>
      <c r="D185" s="163"/>
      <c r="E185" s="163"/>
      <c r="F185" s="163"/>
      <c r="G185" s="163"/>
      <c r="H185" s="163"/>
      <c r="I185" s="163"/>
      <c r="J185" s="163"/>
      <c r="K185" s="1"/>
      <c r="Y185" s="5" t="str">
        <f t="shared" si="4"/>
        <v/>
      </c>
      <c r="Z185"/>
      <c r="AA185" s="7" t="s">
        <v>348</v>
      </c>
    </row>
    <row r="186" spans="1:27" ht="9.75" customHeight="1" x14ac:dyDescent="0.25">
      <c r="A186" s="1"/>
      <c r="B186" s="66"/>
      <c r="C186" s="26"/>
      <c r="D186" s="26"/>
      <c r="E186" s="26"/>
      <c r="F186" s="26"/>
      <c r="G186" s="26"/>
      <c r="H186" s="26"/>
      <c r="I186" s="26"/>
      <c r="J186" s="26"/>
      <c r="K186" s="1"/>
      <c r="Y186" s="5" t="str">
        <f t="shared" si="4"/>
        <v/>
      </c>
      <c r="Z186"/>
      <c r="AA186" s="7" t="s">
        <v>349</v>
      </c>
    </row>
    <row r="187" spans="1:27" ht="28.5" customHeight="1" x14ac:dyDescent="0.25">
      <c r="A187" s="1"/>
      <c r="B187" s="67" t="s">
        <v>350</v>
      </c>
      <c r="C187" s="67" t="s">
        <v>351</v>
      </c>
      <c r="D187" s="68"/>
      <c r="E187" s="164" t="s">
        <v>352</v>
      </c>
      <c r="F187" s="164"/>
      <c r="G187" s="68" t="s">
        <v>353</v>
      </c>
      <c r="H187" s="69" t="s">
        <v>354</v>
      </c>
      <c r="I187" s="164" t="s">
        <v>355</v>
      </c>
      <c r="J187" s="164"/>
      <c r="K187" s="1"/>
      <c r="Y187" s="5" t="str">
        <f t="shared" si="4"/>
        <v/>
      </c>
      <c r="Z187"/>
      <c r="AA187" s="7" t="s">
        <v>356</v>
      </c>
    </row>
    <row r="188" spans="1:27" ht="24" customHeight="1" thickBot="1" x14ac:dyDescent="0.3">
      <c r="A188" s="1"/>
      <c r="B188" s="70" t="s">
        <v>456</v>
      </c>
      <c r="C188" s="165" t="s">
        <v>450</v>
      </c>
      <c r="D188" s="165"/>
      <c r="E188" s="166" t="s">
        <v>451</v>
      </c>
      <c r="F188" s="167"/>
      <c r="G188" s="71">
        <v>2018</v>
      </c>
      <c r="H188" s="72">
        <v>27000000</v>
      </c>
      <c r="I188" s="168" t="s">
        <v>549</v>
      </c>
      <c r="J188" s="168"/>
      <c r="K188" s="1"/>
      <c r="Y188" s="5" t="str">
        <f t="shared" si="4"/>
        <v/>
      </c>
      <c r="Z188"/>
      <c r="AA188" s="7" t="s">
        <v>357</v>
      </c>
    </row>
    <row r="189" spans="1:27" ht="24" customHeight="1" thickBot="1" x14ac:dyDescent="0.3">
      <c r="A189" s="1"/>
      <c r="B189" s="93" t="s">
        <v>456</v>
      </c>
      <c r="C189" s="165" t="s">
        <v>450</v>
      </c>
      <c r="D189" s="165"/>
      <c r="E189" s="166" t="s">
        <v>451</v>
      </c>
      <c r="F189" s="167"/>
      <c r="G189" s="71">
        <v>2018</v>
      </c>
      <c r="H189" s="72">
        <v>14000000</v>
      </c>
      <c r="I189" s="168" t="s">
        <v>550</v>
      </c>
      <c r="J189" s="168"/>
      <c r="K189" s="1"/>
      <c r="Y189" s="5" t="str">
        <f t="shared" si="4"/>
        <v/>
      </c>
      <c r="Z189"/>
      <c r="AA189" s="7" t="s">
        <v>358</v>
      </c>
    </row>
    <row r="190" spans="1:27" ht="24" customHeight="1" thickBot="1" x14ac:dyDescent="0.3">
      <c r="A190" s="1"/>
      <c r="B190" s="99" t="s">
        <v>449</v>
      </c>
      <c r="C190" s="172" t="s">
        <v>454</v>
      </c>
      <c r="D190" s="172"/>
      <c r="E190" s="173" t="s">
        <v>455</v>
      </c>
      <c r="F190" s="174"/>
      <c r="G190" s="74">
        <v>2013</v>
      </c>
      <c r="H190" s="100">
        <v>2400000</v>
      </c>
      <c r="I190" s="175" t="s">
        <v>548</v>
      </c>
      <c r="J190" s="175"/>
      <c r="K190" s="1"/>
      <c r="Y190" s="5" t="str">
        <f t="shared" si="4"/>
        <v/>
      </c>
      <c r="Z190"/>
      <c r="AA190" s="7" t="s">
        <v>359</v>
      </c>
    </row>
    <row r="191" spans="1:27" ht="24" customHeight="1" thickBot="1" x14ac:dyDescent="0.3">
      <c r="A191" s="1"/>
      <c r="B191" s="73"/>
      <c r="C191" s="172"/>
      <c r="D191" s="172"/>
      <c r="E191" s="173"/>
      <c r="F191" s="174"/>
      <c r="G191" s="74"/>
      <c r="H191" s="75"/>
      <c r="I191" s="175"/>
      <c r="J191" s="175"/>
      <c r="K191" s="1"/>
      <c r="Y191" s="5" t="str">
        <f t="shared" si="4"/>
        <v/>
      </c>
      <c r="Z191"/>
      <c r="AA191" s="7" t="s">
        <v>360</v>
      </c>
    </row>
    <row r="192" spans="1:27" ht="24" customHeight="1" thickBot="1" x14ac:dyDescent="0.3">
      <c r="A192" s="1"/>
      <c r="B192" s="73"/>
      <c r="C192" s="172"/>
      <c r="D192" s="172"/>
      <c r="E192" s="173"/>
      <c r="F192" s="174"/>
      <c r="G192" s="74"/>
      <c r="H192" s="75"/>
      <c r="I192" s="175"/>
      <c r="J192" s="175"/>
      <c r="K192" s="1"/>
      <c r="Y192" s="5" t="str">
        <f t="shared" si="4"/>
        <v/>
      </c>
      <c r="Z192"/>
      <c r="AA192" s="7" t="s">
        <v>361</v>
      </c>
    </row>
    <row r="193" spans="1:27" ht="24" customHeight="1" thickBot="1" x14ac:dyDescent="0.3">
      <c r="A193" s="1"/>
      <c r="B193" s="73"/>
      <c r="C193" s="172"/>
      <c r="D193" s="172"/>
      <c r="E193" s="173"/>
      <c r="F193" s="174"/>
      <c r="G193" s="74"/>
      <c r="H193" s="75"/>
      <c r="I193" s="175"/>
      <c r="J193" s="175"/>
      <c r="K193" s="1"/>
      <c r="Y193" s="5" t="str">
        <f t="shared" si="4"/>
        <v/>
      </c>
      <c r="Z193"/>
      <c r="AA193" s="7" t="s">
        <v>362</v>
      </c>
    </row>
    <row r="194" spans="1:27" ht="24" customHeight="1" thickBot="1" x14ac:dyDescent="0.3">
      <c r="A194" s="1"/>
      <c r="B194" s="73"/>
      <c r="C194" s="172"/>
      <c r="D194" s="172"/>
      <c r="E194" s="173"/>
      <c r="F194" s="174"/>
      <c r="G194" s="74"/>
      <c r="H194" s="75"/>
      <c r="I194" s="175"/>
      <c r="J194" s="175"/>
      <c r="K194" s="1"/>
      <c r="Y194" s="5" t="str">
        <f t="shared" si="4"/>
        <v/>
      </c>
      <c r="Z194"/>
      <c r="AA194" s="7" t="s">
        <v>363</v>
      </c>
    </row>
    <row r="195" spans="1:27" ht="24" customHeight="1" thickBot="1" x14ac:dyDescent="0.3">
      <c r="A195" s="1"/>
      <c r="B195" s="73"/>
      <c r="C195" s="172"/>
      <c r="D195" s="172"/>
      <c r="E195" s="173"/>
      <c r="F195" s="174"/>
      <c r="G195" s="74"/>
      <c r="H195" s="75"/>
      <c r="I195" s="175"/>
      <c r="J195" s="175"/>
      <c r="K195" s="1"/>
      <c r="Y195" s="5" t="str">
        <f t="shared" si="4"/>
        <v/>
      </c>
      <c r="Z195"/>
      <c r="AA195" s="7" t="s">
        <v>364</v>
      </c>
    </row>
    <row r="196" spans="1:27" ht="24" customHeight="1" thickBot="1" x14ac:dyDescent="0.3">
      <c r="A196" s="1"/>
      <c r="B196" s="73"/>
      <c r="C196" s="172"/>
      <c r="D196" s="172"/>
      <c r="E196" s="173"/>
      <c r="F196" s="174"/>
      <c r="G196" s="74"/>
      <c r="H196" s="75"/>
      <c r="I196" s="175"/>
      <c r="J196" s="175"/>
      <c r="K196" s="1"/>
      <c r="Y196" s="5" t="str">
        <f t="shared" si="4"/>
        <v/>
      </c>
      <c r="Z196"/>
      <c r="AA196" s="7" t="s">
        <v>365</v>
      </c>
    </row>
    <row r="197" spans="1:27" ht="24" customHeight="1" thickBot="1" x14ac:dyDescent="0.3">
      <c r="A197" s="1"/>
      <c r="B197" s="73"/>
      <c r="C197" s="172"/>
      <c r="D197" s="172"/>
      <c r="E197" s="173"/>
      <c r="F197" s="174"/>
      <c r="G197" s="74"/>
      <c r="H197" s="75"/>
      <c r="I197" s="175"/>
      <c r="J197" s="175"/>
      <c r="K197" s="1"/>
      <c r="Y197" s="5" t="str">
        <f t="shared" si="4"/>
        <v/>
      </c>
      <c r="Z197"/>
      <c r="AA197" s="7" t="s">
        <v>366</v>
      </c>
    </row>
    <row r="198" spans="1:27" ht="24" customHeight="1" thickBot="1" x14ac:dyDescent="0.3">
      <c r="A198" s="1"/>
      <c r="B198" s="73"/>
      <c r="C198" s="172"/>
      <c r="D198" s="172"/>
      <c r="E198" s="173"/>
      <c r="F198" s="174"/>
      <c r="G198" s="74"/>
      <c r="H198" s="75"/>
      <c r="I198" s="175"/>
      <c r="J198" s="175"/>
      <c r="K198" s="1"/>
      <c r="Y198" s="5" t="str">
        <f t="shared" si="4"/>
        <v/>
      </c>
      <c r="Z198"/>
      <c r="AA198" s="7" t="s">
        <v>367</v>
      </c>
    </row>
    <row r="199" spans="1:27" ht="24" customHeight="1" thickBot="1" x14ac:dyDescent="0.3">
      <c r="A199" s="1"/>
      <c r="B199" s="73"/>
      <c r="C199" s="172"/>
      <c r="D199" s="172"/>
      <c r="E199" s="173"/>
      <c r="F199" s="174"/>
      <c r="G199" s="74"/>
      <c r="H199" s="75"/>
      <c r="I199" s="175"/>
      <c r="J199" s="175"/>
      <c r="K199" s="1"/>
      <c r="Y199" s="5" t="str">
        <f t="shared" si="4"/>
        <v/>
      </c>
      <c r="Z199"/>
      <c r="AA199" s="7" t="s">
        <v>368</v>
      </c>
    </row>
    <row r="200" spans="1:27" ht="24" customHeight="1" thickBot="1" x14ac:dyDescent="0.3">
      <c r="A200" s="1"/>
      <c r="B200" s="73"/>
      <c r="C200" s="176"/>
      <c r="D200" s="176"/>
      <c r="E200" s="177"/>
      <c r="F200" s="178"/>
      <c r="G200" s="74"/>
      <c r="H200" s="75"/>
      <c r="I200" s="179"/>
      <c r="J200" s="179"/>
      <c r="K200" s="1"/>
      <c r="Y200" s="5" t="str">
        <f t="shared" si="4"/>
        <v/>
      </c>
      <c r="Z200"/>
      <c r="AA200" s="7" t="s">
        <v>369</v>
      </c>
    </row>
    <row r="201" spans="1:27" ht="24" customHeight="1" x14ac:dyDescent="0.25">
      <c r="A201" s="1"/>
      <c r="B201" s="1"/>
      <c r="C201" s="1"/>
      <c r="D201" s="1"/>
      <c r="E201" s="1"/>
      <c r="F201" s="1"/>
      <c r="G201" s="1"/>
      <c r="H201" s="1"/>
      <c r="I201" s="1"/>
      <c r="J201" s="1"/>
      <c r="K201" s="1"/>
      <c r="Y201" s="5" t="str">
        <f t="shared" si="4"/>
        <v/>
      </c>
      <c r="Z201"/>
      <c r="AA201" s="7" t="s">
        <v>370</v>
      </c>
    </row>
    <row r="202" spans="1:27" ht="24" customHeight="1" x14ac:dyDescent="0.25">
      <c r="A202" s="1"/>
      <c r="B202" s="162" t="s">
        <v>371</v>
      </c>
      <c r="C202" s="162"/>
      <c r="D202" s="162"/>
      <c r="E202" s="162"/>
      <c r="F202" s="162"/>
      <c r="G202" s="162"/>
      <c r="H202" s="162"/>
      <c r="I202" s="162" t="s">
        <v>215</v>
      </c>
      <c r="J202" s="64" t="s">
        <v>372</v>
      </c>
      <c r="K202" s="1"/>
      <c r="Y202" s="5" t="str">
        <f t="shared" si="4"/>
        <v/>
      </c>
      <c r="Z202"/>
      <c r="AA202" s="7" t="s">
        <v>373</v>
      </c>
    </row>
    <row r="203" spans="1:27" ht="6" customHeight="1" x14ac:dyDescent="0.25">
      <c r="A203" s="1"/>
      <c r="B203" s="65"/>
      <c r="C203" s="26"/>
      <c r="D203" s="26"/>
      <c r="E203" s="26"/>
      <c r="F203" s="26"/>
      <c r="G203" s="26"/>
      <c r="H203" s="26"/>
      <c r="I203" s="26"/>
      <c r="J203" s="26"/>
      <c r="K203" s="1"/>
      <c r="Y203" s="5" t="str">
        <f t="shared" si="4"/>
        <v/>
      </c>
      <c r="Z203"/>
      <c r="AA203" s="23" t="s">
        <v>374</v>
      </c>
    </row>
    <row r="204" spans="1:27" ht="24" customHeight="1" x14ac:dyDescent="0.25">
      <c r="A204" s="1"/>
      <c r="B204" s="163" t="s">
        <v>408</v>
      </c>
      <c r="C204" s="163"/>
      <c r="D204" s="163"/>
      <c r="E204" s="163"/>
      <c r="F204" s="163"/>
      <c r="G204" s="163"/>
      <c r="H204" s="163"/>
      <c r="I204" s="163"/>
      <c r="J204" s="163"/>
      <c r="K204" s="1"/>
      <c r="Y204" s="5" t="str">
        <f t="shared" ref="Y204:Y218" si="5">+SUBSTITUTE(Z204," ","_")</f>
        <v/>
      </c>
      <c r="Z204" s="91"/>
      <c r="AA204" s="7" t="s">
        <v>376</v>
      </c>
    </row>
    <row r="205" spans="1:27" ht="9.75" customHeight="1" x14ac:dyDescent="0.25">
      <c r="A205" s="1"/>
      <c r="B205" s="66"/>
      <c r="C205" s="26"/>
      <c r="D205" s="26"/>
      <c r="E205" s="26"/>
      <c r="F205" s="26"/>
      <c r="G205" s="26"/>
      <c r="H205" s="26"/>
      <c r="I205" s="26"/>
      <c r="J205" s="26"/>
      <c r="K205" s="1"/>
      <c r="Y205" s="5" t="str">
        <f t="shared" si="5"/>
        <v/>
      </c>
      <c r="Z205" s="91"/>
      <c r="AA205" s="7" t="s">
        <v>377</v>
      </c>
    </row>
    <row r="206" spans="1:27" ht="27" customHeight="1" thickBot="1" x14ac:dyDescent="0.3">
      <c r="A206" s="1"/>
      <c r="B206" s="67" t="s">
        <v>350</v>
      </c>
      <c r="C206" s="67" t="s">
        <v>351</v>
      </c>
      <c r="D206" s="68"/>
      <c r="E206" s="164" t="s">
        <v>352</v>
      </c>
      <c r="F206" s="164"/>
      <c r="G206" s="68" t="s">
        <v>353</v>
      </c>
      <c r="H206" s="89" t="s">
        <v>354</v>
      </c>
      <c r="I206" s="164" t="s">
        <v>355</v>
      </c>
      <c r="J206" s="164"/>
      <c r="K206" s="1"/>
      <c r="Y206" s="5" t="str">
        <f t="shared" si="5"/>
        <v/>
      </c>
      <c r="Z206" s="91"/>
      <c r="AA206" s="7" t="s">
        <v>378</v>
      </c>
    </row>
    <row r="207" spans="1:27" ht="24" customHeight="1" thickBot="1" x14ac:dyDescent="0.3">
      <c r="A207" s="1"/>
      <c r="B207" s="90"/>
      <c r="C207" s="165"/>
      <c r="D207" s="165"/>
      <c r="E207" s="166"/>
      <c r="F207" s="167"/>
      <c r="G207" s="71"/>
      <c r="H207" s="75"/>
      <c r="I207" s="168"/>
      <c r="J207" s="168"/>
      <c r="K207" s="1"/>
      <c r="Y207" s="5" t="str">
        <f t="shared" si="5"/>
        <v/>
      </c>
      <c r="Z207" s="91"/>
      <c r="AA207" s="7" t="s">
        <v>379</v>
      </c>
    </row>
    <row r="208" spans="1:27" ht="24" customHeight="1" thickBot="1" x14ac:dyDescent="0.3">
      <c r="A208" s="1"/>
      <c r="B208" s="90"/>
      <c r="C208" s="165"/>
      <c r="D208" s="165"/>
      <c r="E208" s="180"/>
      <c r="F208" s="181"/>
      <c r="G208" s="74"/>
      <c r="H208" s="75"/>
      <c r="I208" s="168"/>
      <c r="J208" s="168"/>
      <c r="K208" s="1"/>
      <c r="Y208" s="5" t="str">
        <f t="shared" si="5"/>
        <v/>
      </c>
      <c r="Z208" s="91"/>
      <c r="AA208" s="7" t="s">
        <v>380</v>
      </c>
    </row>
    <row r="209" spans="1:27" ht="24" customHeight="1" thickBot="1" x14ac:dyDescent="0.3">
      <c r="A209" s="1"/>
      <c r="B209" s="90"/>
      <c r="C209" s="172"/>
      <c r="D209" s="172"/>
      <c r="E209" s="173"/>
      <c r="F209" s="174"/>
      <c r="G209" s="74"/>
      <c r="H209" s="75"/>
      <c r="I209" s="168"/>
      <c r="J209" s="168"/>
      <c r="K209" s="1"/>
      <c r="Y209" s="5" t="str">
        <f t="shared" si="5"/>
        <v/>
      </c>
      <c r="Z209" s="91"/>
      <c r="AA209" s="7" t="s">
        <v>381</v>
      </c>
    </row>
    <row r="210" spans="1:27" ht="24" customHeight="1" thickBot="1" x14ac:dyDescent="0.3">
      <c r="A210" s="1"/>
      <c r="B210" s="90"/>
      <c r="C210" s="172"/>
      <c r="D210" s="172"/>
      <c r="E210" s="173"/>
      <c r="F210" s="174"/>
      <c r="G210" s="74"/>
      <c r="H210" s="75"/>
      <c r="I210" s="168"/>
      <c r="J210" s="168"/>
      <c r="K210" s="1"/>
      <c r="Y210" s="5" t="str">
        <f t="shared" si="5"/>
        <v/>
      </c>
      <c r="Z210" s="91"/>
      <c r="AA210" s="7" t="s">
        <v>382</v>
      </c>
    </row>
    <row r="211" spans="1:27" ht="24" customHeight="1" thickBot="1" x14ac:dyDescent="0.3">
      <c r="A211" s="1"/>
      <c r="B211" s="90"/>
      <c r="C211" s="172"/>
      <c r="D211" s="172"/>
      <c r="E211" s="173"/>
      <c r="F211" s="174"/>
      <c r="G211" s="74"/>
      <c r="H211" s="75"/>
      <c r="I211" s="168"/>
      <c r="J211" s="168"/>
      <c r="K211" s="1"/>
      <c r="Y211" s="5" t="str">
        <f t="shared" si="5"/>
        <v/>
      </c>
      <c r="Z211" s="91"/>
      <c r="AA211" s="7" t="s">
        <v>383</v>
      </c>
    </row>
    <row r="212" spans="1:27" ht="24" customHeight="1" thickBot="1" x14ac:dyDescent="0.3">
      <c r="A212" s="1"/>
      <c r="B212" s="90"/>
      <c r="C212" s="172"/>
      <c r="D212" s="172"/>
      <c r="E212" s="173"/>
      <c r="F212" s="174"/>
      <c r="G212" s="74"/>
      <c r="H212" s="75"/>
      <c r="I212" s="168"/>
      <c r="J212" s="168"/>
      <c r="K212" s="1"/>
      <c r="Y212" s="5" t="str">
        <f t="shared" si="5"/>
        <v/>
      </c>
      <c r="Z212" s="91"/>
      <c r="AA212" s="7" t="s">
        <v>384</v>
      </c>
    </row>
    <row r="213" spans="1:27" ht="24" customHeight="1" thickBot="1" x14ac:dyDescent="0.3">
      <c r="A213" s="1"/>
      <c r="B213" s="90"/>
      <c r="C213" s="172"/>
      <c r="D213" s="172"/>
      <c r="E213" s="173"/>
      <c r="F213" s="174"/>
      <c r="G213" s="74"/>
      <c r="H213" s="75"/>
      <c r="I213" s="168"/>
      <c r="J213" s="168"/>
      <c r="K213" s="1"/>
      <c r="Y213" s="5" t="str">
        <f t="shared" si="5"/>
        <v/>
      </c>
      <c r="Z213" s="91"/>
      <c r="AA213" s="7" t="s">
        <v>385</v>
      </c>
    </row>
    <row r="214" spans="1:27" ht="24" customHeight="1" thickBot="1" x14ac:dyDescent="0.3">
      <c r="A214" s="1"/>
      <c r="B214" s="90"/>
      <c r="C214" s="172"/>
      <c r="D214" s="172"/>
      <c r="E214" s="173"/>
      <c r="F214" s="174"/>
      <c r="G214" s="74"/>
      <c r="H214" s="75"/>
      <c r="I214" s="168"/>
      <c r="J214" s="168"/>
      <c r="K214" s="1"/>
      <c r="Y214" s="5" t="str">
        <f t="shared" si="5"/>
        <v/>
      </c>
      <c r="Z214" s="91"/>
      <c r="AA214" s="7" t="s">
        <v>386</v>
      </c>
    </row>
    <row r="215" spans="1:27" ht="24" customHeight="1" thickBot="1" x14ac:dyDescent="0.3">
      <c r="A215" s="1"/>
      <c r="B215" s="90"/>
      <c r="C215" s="172"/>
      <c r="D215" s="172"/>
      <c r="E215" s="173"/>
      <c r="F215" s="174"/>
      <c r="G215" s="74"/>
      <c r="H215" s="75"/>
      <c r="I215" s="175"/>
      <c r="J215" s="175"/>
      <c r="K215" s="1"/>
      <c r="Y215" s="5" t="str">
        <f t="shared" si="5"/>
        <v/>
      </c>
      <c r="Z215" s="91"/>
      <c r="AA215" s="7" t="s">
        <v>387</v>
      </c>
    </row>
    <row r="216" spans="1:27" ht="24" customHeight="1" thickBot="1" x14ac:dyDescent="0.3">
      <c r="A216" s="1"/>
      <c r="B216" s="76"/>
      <c r="C216" s="176"/>
      <c r="D216" s="176"/>
      <c r="E216" s="173"/>
      <c r="F216" s="174"/>
      <c r="G216" s="77"/>
      <c r="H216" s="78"/>
      <c r="I216" s="179"/>
      <c r="J216" s="179"/>
      <c r="K216" s="1"/>
      <c r="Y216" s="5" t="str">
        <f t="shared" si="5"/>
        <v/>
      </c>
      <c r="Z216" s="91"/>
      <c r="AA216" s="7" t="s">
        <v>388</v>
      </c>
    </row>
    <row r="217" spans="1:27" ht="9" customHeight="1" x14ac:dyDescent="0.25">
      <c r="A217" s="1"/>
      <c r="B217" s="79"/>
      <c r="C217" s="1"/>
      <c r="D217" s="1"/>
      <c r="E217" s="1"/>
      <c r="F217" s="1"/>
      <c r="G217" s="80"/>
      <c r="H217" s="80"/>
      <c r="I217" s="1"/>
      <c r="J217" s="1"/>
      <c r="K217" s="1"/>
      <c r="Y217" s="5" t="str">
        <f t="shared" si="5"/>
        <v/>
      </c>
      <c r="Z217" s="91"/>
      <c r="AA217" s="7" t="s">
        <v>389</v>
      </c>
    </row>
    <row r="218" spans="1:27" ht="24" customHeight="1" x14ac:dyDescent="0.25">
      <c r="A218" s="1"/>
      <c r="B218" s="65"/>
      <c r="C218" s="26"/>
      <c r="D218" s="26"/>
      <c r="E218" s="26"/>
      <c r="F218" s="26"/>
      <c r="G218" s="26"/>
      <c r="H218" s="26"/>
      <c r="I218" s="26"/>
      <c r="J218" s="26"/>
      <c r="K218" s="1"/>
      <c r="Y218" s="5" t="str">
        <f t="shared" si="5"/>
        <v/>
      </c>
      <c r="Z218" s="91"/>
      <c r="AA218" s="7" t="s">
        <v>390</v>
      </c>
    </row>
    <row r="219" spans="1:27" ht="24" customHeight="1" x14ac:dyDescent="0.25">
      <c r="A219" s="1"/>
      <c r="B219" s="163" t="s">
        <v>375</v>
      </c>
      <c r="C219" s="163"/>
      <c r="D219" s="163"/>
      <c r="E219" s="163"/>
      <c r="F219" s="163"/>
      <c r="G219" s="163"/>
      <c r="H219" s="163"/>
      <c r="I219" s="163"/>
      <c r="J219" s="163"/>
      <c r="K219" s="1"/>
      <c r="Y219" s="5" t="str">
        <f t="shared" si="4"/>
        <v/>
      </c>
      <c r="Z219"/>
      <c r="AA219" s="7" t="s">
        <v>376</v>
      </c>
    </row>
    <row r="220" spans="1:27" ht="9.75" customHeight="1" x14ac:dyDescent="0.25">
      <c r="A220" s="1"/>
      <c r="B220" s="66"/>
      <c r="C220" s="26"/>
      <c r="D220" s="26"/>
      <c r="E220" s="26"/>
      <c r="F220" s="26"/>
      <c r="G220" s="26"/>
      <c r="H220" s="26"/>
      <c r="I220" s="26"/>
      <c r="J220" s="26"/>
      <c r="K220" s="1"/>
      <c r="Y220" s="5" t="str">
        <f t="shared" si="4"/>
        <v/>
      </c>
      <c r="Z220"/>
      <c r="AA220" s="7" t="s">
        <v>377</v>
      </c>
    </row>
    <row r="221" spans="1:27" ht="27" customHeight="1" thickBot="1" x14ac:dyDescent="0.3">
      <c r="A221" s="1"/>
      <c r="B221" s="67" t="s">
        <v>350</v>
      </c>
      <c r="C221" s="67" t="s">
        <v>351</v>
      </c>
      <c r="D221" s="68"/>
      <c r="E221" s="164" t="s">
        <v>352</v>
      </c>
      <c r="F221" s="164"/>
      <c r="G221" s="68" t="s">
        <v>353</v>
      </c>
      <c r="H221" s="69" t="s">
        <v>354</v>
      </c>
      <c r="I221" s="164" t="s">
        <v>355</v>
      </c>
      <c r="J221" s="164"/>
      <c r="K221" s="1"/>
      <c r="Y221" s="5" t="str">
        <f t="shared" si="4"/>
        <v/>
      </c>
      <c r="Z221"/>
      <c r="AA221" s="7" t="s">
        <v>378</v>
      </c>
    </row>
    <row r="222" spans="1:27" ht="24" customHeight="1" thickBot="1" x14ac:dyDescent="0.3">
      <c r="A222" s="1"/>
      <c r="B222" s="99" t="s">
        <v>457</v>
      </c>
      <c r="C222" s="165" t="s">
        <v>458</v>
      </c>
      <c r="D222" s="165"/>
      <c r="E222" s="166" t="s">
        <v>459</v>
      </c>
      <c r="F222" s="167"/>
      <c r="G222" s="71">
        <v>2018</v>
      </c>
      <c r="H222" s="75">
        <v>32000000</v>
      </c>
      <c r="I222" s="168" t="s">
        <v>461</v>
      </c>
      <c r="J222" s="168"/>
      <c r="K222" s="1"/>
      <c r="Y222" s="5" t="str">
        <f t="shared" si="4"/>
        <v/>
      </c>
      <c r="Z222"/>
      <c r="AA222" s="7" t="s">
        <v>379</v>
      </c>
    </row>
    <row r="223" spans="1:27" ht="24" customHeight="1" thickBot="1" x14ac:dyDescent="0.3">
      <c r="A223" s="1"/>
      <c r="B223" s="99" t="s">
        <v>462</v>
      </c>
      <c r="C223" s="165" t="s">
        <v>463</v>
      </c>
      <c r="D223" s="165"/>
      <c r="E223" s="166" t="s">
        <v>459</v>
      </c>
      <c r="F223" s="167"/>
      <c r="G223" s="74">
        <v>2017</v>
      </c>
      <c r="H223" s="75">
        <v>8500000</v>
      </c>
      <c r="I223" s="168" t="s">
        <v>464</v>
      </c>
      <c r="J223" s="168"/>
      <c r="K223" s="1"/>
      <c r="Y223" s="5" t="str">
        <f t="shared" si="4"/>
        <v/>
      </c>
      <c r="Z223"/>
      <c r="AA223" s="7" t="s">
        <v>380</v>
      </c>
    </row>
    <row r="224" spans="1:27" ht="24" customHeight="1" thickBot="1" x14ac:dyDescent="0.3">
      <c r="A224" s="1"/>
      <c r="B224" s="99" t="s">
        <v>465</v>
      </c>
      <c r="C224" s="172" t="s">
        <v>419</v>
      </c>
      <c r="D224" s="172"/>
      <c r="E224" s="173" t="s">
        <v>415</v>
      </c>
      <c r="F224" s="174"/>
      <c r="G224" s="74">
        <v>2018</v>
      </c>
      <c r="H224" s="75">
        <v>7200000</v>
      </c>
      <c r="I224" s="168" t="s">
        <v>460</v>
      </c>
      <c r="J224" s="168"/>
      <c r="K224" s="1"/>
      <c r="Y224" s="5" t="str">
        <f t="shared" si="4"/>
        <v/>
      </c>
      <c r="Z224"/>
      <c r="AA224" s="7" t="s">
        <v>381</v>
      </c>
    </row>
    <row r="225" spans="1:27" ht="24" customHeight="1" thickBot="1" x14ac:dyDescent="0.3">
      <c r="A225" s="1"/>
      <c r="B225" s="73"/>
      <c r="C225" s="172"/>
      <c r="D225" s="172"/>
      <c r="E225" s="173"/>
      <c r="F225" s="174"/>
      <c r="G225" s="74"/>
      <c r="H225" s="75"/>
      <c r="I225" s="168"/>
      <c r="J225" s="168"/>
      <c r="K225" s="1"/>
      <c r="Y225" s="5" t="str">
        <f t="shared" si="4"/>
        <v/>
      </c>
      <c r="Z225"/>
      <c r="AA225" s="7" t="s">
        <v>382</v>
      </c>
    </row>
    <row r="226" spans="1:27" ht="24" customHeight="1" thickBot="1" x14ac:dyDescent="0.3">
      <c r="A226" s="1"/>
      <c r="B226" s="73"/>
      <c r="C226" s="172"/>
      <c r="D226" s="172"/>
      <c r="E226" s="173"/>
      <c r="F226" s="174"/>
      <c r="G226" s="74"/>
      <c r="H226" s="75"/>
      <c r="I226" s="168"/>
      <c r="J226" s="168"/>
      <c r="K226" s="1"/>
      <c r="Y226" s="5" t="str">
        <f t="shared" si="4"/>
        <v/>
      </c>
      <c r="Z226"/>
      <c r="AA226" s="7" t="s">
        <v>383</v>
      </c>
    </row>
    <row r="227" spans="1:27" ht="24" customHeight="1" thickBot="1" x14ac:dyDescent="0.3">
      <c r="A227" s="1"/>
      <c r="B227" s="73"/>
      <c r="C227" s="172"/>
      <c r="D227" s="172"/>
      <c r="E227" s="173"/>
      <c r="F227" s="174"/>
      <c r="G227" s="74"/>
      <c r="H227" s="75"/>
      <c r="I227" s="168"/>
      <c r="J227" s="168"/>
      <c r="K227" s="1"/>
      <c r="Y227" s="5" t="str">
        <f t="shared" si="4"/>
        <v/>
      </c>
      <c r="Z227"/>
      <c r="AA227" s="7" t="s">
        <v>384</v>
      </c>
    </row>
    <row r="228" spans="1:27" ht="24" customHeight="1" thickBot="1" x14ac:dyDescent="0.3">
      <c r="A228" s="1"/>
      <c r="B228" s="73"/>
      <c r="C228" s="172"/>
      <c r="D228" s="172"/>
      <c r="E228" s="173"/>
      <c r="F228" s="174"/>
      <c r="G228" s="74"/>
      <c r="H228" s="75"/>
      <c r="I228" s="168"/>
      <c r="J228" s="168"/>
      <c r="K228" s="1"/>
      <c r="Y228" s="5" t="str">
        <f t="shared" si="4"/>
        <v/>
      </c>
      <c r="Z228"/>
      <c r="AA228" s="7" t="s">
        <v>385</v>
      </c>
    </row>
    <row r="229" spans="1:27" ht="24" customHeight="1" thickBot="1" x14ac:dyDescent="0.3">
      <c r="A229" s="1"/>
      <c r="B229" s="73"/>
      <c r="C229" s="172"/>
      <c r="D229" s="172"/>
      <c r="E229" s="173"/>
      <c r="F229" s="174"/>
      <c r="G229" s="74"/>
      <c r="H229" s="75"/>
      <c r="I229" s="168"/>
      <c r="J229" s="168"/>
      <c r="K229" s="1"/>
      <c r="Y229" s="5" t="str">
        <f t="shared" si="4"/>
        <v/>
      </c>
      <c r="Z229"/>
      <c r="AA229" s="7" t="s">
        <v>386</v>
      </c>
    </row>
    <row r="230" spans="1:27" ht="24" customHeight="1" thickBot="1" x14ac:dyDescent="0.3">
      <c r="A230" s="1"/>
      <c r="B230" s="73"/>
      <c r="C230" s="172"/>
      <c r="D230" s="172"/>
      <c r="E230" s="173"/>
      <c r="F230" s="174"/>
      <c r="G230" s="74"/>
      <c r="H230" s="75"/>
      <c r="I230" s="175"/>
      <c r="J230" s="175"/>
      <c r="K230" s="1"/>
      <c r="Y230" s="5" t="str">
        <f t="shared" si="4"/>
        <v/>
      </c>
      <c r="Z230"/>
      <c r="AA230" s="7" t="s">
        <v>387</v>
      </c>
    </row>
    <row r="231" spans="1:27" ht="24" customHeight="1" thickBot="1" x14ac:dyDescent="0.3">
      <c r="A231" s="1"/>
      <c r="B231" s="76"/>
      <c r="C231" s="176"/>
      <c r="D231" s="176"/>
      <c r="E231" s="173"/>
      <c r="F231" s="174"/>
      <c r="G231" s="77"/>
      <c r="H231" s="78"/>
      <c r="I231" s="179"/>
      <c r="J231" s="179"/>
      <c r="K231" s="1"/>
      <c r="Y231" s="5" t="str">
        <f t="shared" si="4"/>
        <v/>
      </c>
      <c r="Z231"/>
      <c r="AA231" s="7" t="s">
        <v>388</v>
      </c>
    </row>
    <row r="232" spans="1:27" ht="9" customHeight="1" x14ac:dyDescent="0.25">
      <c r="A232" s="1"/>
      <c r="B232" s="79"/>
      <c r="C232" s="1"/>
      <c r="D232" s="1"/>
      <c r="E232" s="1"/>
      <c r="F232" s="1"/>
      <c r="G232" s="80"/>
      <c r="H232" s="80"/>
      <c r="I232" s="1"/>
      <c r="J232" s="1"/>
      <c r="K232" s="1"/>
      <c r="Y232" s="5" t="str">
        <f t="shared" si="4"/>
        <v/>
      </c>
      <c r="Z232"/>
      <c r="AA232" s="7" t="s">
        <v>389</v>
      </c>
    </row>
    <row r="233" spans="1:27" ht="24" customHeight="1" x14ac:dyDescent="0.25">
      <c r="A233" s="1"/>
      <c r="B233" s="65"/>
      <c r="C233" s="26"/>
      <c r="D233" s="26"/>
      <c r="E233" s="26"/>
      <c r="F233" s="26"/>
      <c r="G233" s="26"/>
      <c r="H233" s="26"/>
      <c r="I233" s="26"/>
      <c r="J233" s="26"/>
      <c r="K233" s="1"/>
      <c r="Y233" s="5" t="str">
        <f t="shared" si="4"/>
        <v/>
      </c>
      <c r="Z233"/>
      <c r="AA233" s="7" t="s">
        <v>390</v>
      </c>
    </row>
    <row r="234" spans="1:27" ht="24" customHeight="1" x14ac:dyDescent="0.25">
      <c r="A234" s="1"/>
      <c r="B234" s="163" t="s">
        <v>391</v>
      </c>
      <c r="C234" s="163"/>
      <c r="D234" s="163"/>
      <c r="E234" s="163"/>
      <c r="F234" s="163"/>
      <c r="G234" s="163"/>
      <c r="H234" s="163"/>
      <c r="I234" s="163"/>
      <c r="J234" s="163"/>
      <c r="K234" s="1"/>
      <c r="Y234" s="5" t="str">
        <f t="shared" si="4"/>
        <v/>
      </c>
      <c r="Z234"/>
      <c r="AA234" s="7" t="s">
        <v>392</v>
      </c>
    </row>
    <row r="235" spans="1:27" ht="24" customHeight="1" x14ac:dyDescent="0.25">
      <c r="A235" s="1"/>
      <c r="B235" s="66"/>
      <c r="C235" s="26"/>
      <c r="D235" s="26"/>
      <c r="E235" s="26"/>
      <c r="F235" s="26"/>
      <c r="G235" s="26"/>
      <c r="H235" s="26"/>
      <c r="I235" s="26"/>
      <c r="J235" s="26"/>
      <c r="K235" s="1"/>
      <c r="Y235" s="5" t="str">
        <f t="shared" si="4"/>
        <v/>
      </c>
      <c r="Z235"/>
      <c r="AA235" s="7" t="s">
        <v>393</v>
      </c>
    </row>
    <row r="236" spans="1:27" ht="24" customHeight="1" thickBot="1" x14ac:dyDescent="0.3">
      <c r="A236" s="1"/>
      <c r="B236" s="67" t="s">
        <v>350</v>
      </c>
      <c r="C236" s="67" t="s">
        <v>351</v>
      </c>
      <c r="D236" s="68"/>
      <c r="E236" s="164" t="s">
        <v>352</v>
      </c>
      <c r="F236" s="164"/>
      <c r="G236" s="68" t="s">
        <v>353</v>
      </c>
      <c r="H236" s="69" t="s">
        <v>354</v>
      </c>
      <c r="I236" s="164" t="s">
        <v>355</v>
      </c>
      <c r="J236" s="164"/>
      <c r="K236" s="1"/>
      <c r="Y236" s="5" t="str">
        <f t="shared" si="4"/>
        <v/>
      </c>
      <c r="Z236"/>
    </row>
    <row r="237" spans="1:27" ht="24" customHeight="1" thickBot="1" x14ac:dyDescent="0.3">
      <c r="A237" s="1"/>
      <c r="B237" s="99" t="s">
        <v>469</v>
      </c>
      <c r="C237" s="182" t="s">
        <v>450</v>
      </c>
      <c r="D237" s="183"/>
      <c r="E237" s="166" t="s">
        <v>459</v>
      </c>
      <c r="F237" s="167"/>
      <c r="G237" s="71">
        <v>2017</v>
      </c>
      <c r="H237" s="75">
        <v>9000000</v>
      </c>
      <c r="I237" s="168" t="s">
        <v>473</v>
      </c>
      <c r="J237" s="168"/>
      <c r="K237" s="1"/>
      <c r="Y237" s="5" t="str">
        <f t="shared" si="4"/>
        <v/>
      </c>
      <c r="Z237"/>
    </row>
    <row r="238" spans="1:27" ht="39" customHeight="1" thickBot="1" x14ac:dyDescent="0.3">
      <c r="A238" s="1"/>
      <c r="B238" s="99" t="s">
        <v>466</v>
      </c>
      <c r="C238" s="184" t="s">
        <v>467</v>
      </c>
      <c r="D238" s="183"/>
      <c r="E238" s="173" t="s">
        <v>415</v>
      </c>
      <c r="F238" s="174"/>
      <c r="G238" s="74">
        <v>2017</v>
      </c>
      <c r="H238" s="75">
        <v>2600000</v>
      </c>
      <c r="I238" s="168" t="s">
        <v>460</v>
      </c>
      <c r="J238" s="168"/>
      <c r="K238" s="1"/>
    </row>
    <row r="239" spans="1:27" ht="36.75" customHeight="1" thickBot="1" x14ac:dyDescent="0.3">
      <c r="A239" s="1"/>
      <c r="B239" s="73" t="s">
        <v>475</v>
      </c>
      <c r="C239" s="182" t="s">
        <v>492</v>
      </c>
      <c r="D239" s="183"/>
      <c r="E239" s="173" t="s">
        <v>468</v>
      </c>
      <c r="F239" s="174"/>
      <c r="G239" s="74">
        <v>2018</v>
      </c>
      <c r="H239" s="75">
        <v>3200000</v>
      </c>
      <c r="I239" s="168" t="s">
        <v>460</v>
      </c>
      <c r="J239" s="168"/>
      <c r="K239" s="1"/>
    </row>
    <row r="240" spans="1:27" ht="24" customHeight="1" thickBot="1" x14ac:dyDescent="0.3">
      <c r="A240" s="1"/>
      <c r="B240" s="73" t="s">
        <v>470</v>
      </c>
      <c r="C240" s="172" t="s">
        <v>474</v>
      </c>
      <c r="D240" s="172"/>
      <c r="E240" s="173" t="s">
        <v>471</v>
      </c>
      <c r="F240" s="174"/>
      <c r="G240" s="74">
        <v>2019</v>
      </c>
      <c r="H240" s="75"/>
      <c r="I240" s="168" t="s">
        <v>493</v>
      </c>
      <c r="J240" s="168"/>
      <c r="K240" s="1"/>
    </row>
    <row r="241" spans="1:11" ht="24" customHeight="1" thickBot="1" x14ac:dyDescent="0.3">
      <c r="A241" s="1"/>
      <c r="B241" s="92" t="s">
        <v>472</v>
      </c>
      <c r="C241" s="172" t="s">
        <v>538</v>
      </c>
      <c r="D241" s="172"/>
      <c r="E241" s="173" t="s">
        <v>471</v>
      </c>
      <c r="F241" s="174"/>
      <c r="G241" s="74">
        <v>2019</v>
      </c>
      <c r="H241" s="75"/>
      <c r="I241" s="168" t="s">
        <v>493</v>
      </c>
      <c r="J241" s="168"/>
      <c r="K241" s="1"/>
    </row>
    <row r="242" spans="1:11" ht="24" customHeight="1" thickBot="1" x14ac:dyDescent="0.3">
      <c r="A242" s="1"/>
      <c r="B242" s="96" t="s">
        <v>535</v>
      </c>
      <c r="C242" s="172" t="s">
        <v>534</v>
      </c>
      <c r="D242" s="172" t="s">
        <v>534</v>
      </c>
      <c r="E242" s="173" t="s">
        <v>540</v>
      </c>
      <c r="F242" s="174"/>
      <c r="G242" s="74">
        <v>2017</v>
      </c>
      <c r="H242" s="75">
        <v>140000000</v>
      </c>
      <c r="I242" s="168" t="s">
        <v>511</v>
      </c>
      <c r="J242" s="168"/>
      <c r="K242" s="1"/>
    </row>
    <row r="243" spans="1:11" ht="24" customHeight="1" thickBot="1" x14ac:dyDescent="0.3">
      <c r="A243" s="1"/>
      <c r="B243" s="96" t="s">
        <v>536</v>
      </c>
      <c r="C243" s="172" t="s">
        <v>537</v>
      </c>
      <c r="D243" s="172"/>
      <c r="E243" s="173" t="s">
        <v>539</v>
      </c>
      <c r="F243" s="174"/>
      <c r="G243" s="74">
        <v>2013</v>
      </c>
      <c r="H243" s="75">
        <v>47000000</v>
      </c>
      <c r="I243" s="168" t="s">
        <v>511</v>
      </c>
      <c r="J243" s="168"/>
      <c r="K243" s="1"/>
    </row>
    <row r="244" spans="1:11" ht="24" customHeight="1" thickBot="1" x14ac:dyDescent="0.3">
      <c r="A244" s="1"/>
      <c r="B244" s="73" t="s">
        <v>541</v>
      </c>
      <c r="C244" s="172" t="s">
        <v>537</v>
      </c>
      <c r="D244" s="172"/>
      <c r="E244" s="173" t="s">
        <v>542</v>
      </c>
      <c r="F244" s="174"/>
      <c r="G244" s="74"/>
      <c r="H244" s="75">
        <v>38000000</v>
      </c>
      <c r="I244" s="168" t="s">
        <v>511</v>
      </c>
      <c r="J244" s="168"/>
      <c r="K244" s="1"/>
    </row>
    <row r="245" spans="1:11" ht="24" customHeight="1" thickBot="1" x14ac:dyDescent="0.3">
      <c r="A245" s="1"/>
      <c r="B245" s="73" t="s">
        <v>551</v>
      </c>
      <c r="C245" s="172" t="s">
        <v>538</v>
      </c>
      <c r="D245" s="172"/>
      <c r="E245" s="173" t="s">
        <v>552</v>
      </c>
      <c r="F245" s="174"/>
      <c r="G245" s="74">
        <v>2017</v>
      </c>
      <c r="H245" s="75">
        <v>50000000</v>
      </c>
      <c r="I245" s="168" t="s">
        <v>511</v>
      </c>
      <c r="J245" s="168"/>
      <c r="K245" s="1"/>
    </row>
    <row r="246" spans="1:11" ht="24" customHeight="1" thickBot="1" x14ac:dyDescent="0.3">
      <c r="A246" s="1"/>
      <c r="B246" s="73"/>
      <c r="C246" s="172"/>
      <c r="D246" s="172"/>
      <c r="E246" s="173"/>
      <c r="F246" s="174"/>
      <c r="G246" s="74"/>
      <c r="H246" s="75"/>
      <c r="I246" s="175"/>
      <c r="J246" s="175"/>
      <c r="K246" s="1"/>
    </row>
    <row r="247" spans="1:11" ht="24" customHeight="1" thickBot="1" x14ac:dyDescent="0.3">
      <c r="A247" s="1"/>
      <c r="B247" s="73"/>
      <c r="C247" s="172"/>
      <c r="D247" s="172"/>
      <c r="E247" s="173"/>
      <c r="F247" s="174"/>
      <c r="G247" s="74"/>
      <c r="H247" s="75"/>
      <c r="I247" s="175"/>
      <c r="J247" s="175"/>
      <c r="K247" s="1"/>
    </row>
    <row r="248" spans="1:11" ht="24" customHeight="1" x14ac:dyDescent="0.25">
      <c r="A248" s="1"/>
      <c r="B248" s="76"/>
      <c r="C248" s="176"/>
      <c r="D248" s="176"/>
      <c r="E248" s="177"/>
      <c r="F248" s="178"/>
      <c r="G248" s="77"/>
      <c r="H248" s="78"/>
      <c r="I248" s="179"/>
      <c r="J248" s="179"/>
      <c r="K248" s="1"/>
    </row>
    <row r="249" spans="1:11" ht="24" customHeight="1" x14ac:dyDescent="0.25">
      <c r="A249" s="1"/>
      <c r="B249" s="79"/>
      <c r="C249" s="1"/>
      <c r="D249" s="1"/>
      <c r="E249" s="1"/>
      <c r="F249" s="1"/>
      <c r="G249" s="1"/>
      <c r="H249" s="1"/>
      <c r="I249" s="1"/>
      <c r="J249" s="1"/>
      <c r="K249" s="1"/>
    </row>
    <row r="250" spans="1:11" ht="24" customHeight="1" x14ac:dyDescent="0.25">
      <c r="A250" s="1"/>
      <c r="B250" s="65"/>
      <c r="C250" s="26"/>
      <c r="D250" s="26"/>
      <c r="E250" s="26"/>
      <c r="F250" s="26"/>
      <c r="G250" s="26"/>
      <c r="H250" s="26"/>
      <c r="I250" s="26"/>
      <c r="J250" s="26"/>
      <c r="K250" s="1"/>
    </row>
    <row r="251" spans="1:11" ht="23.25" customHeight="1" x14ac:dyDescent="0.25">
      <c r="A251" s="1"/>
      <c r="B251" s="163" t="s">
        <v>394</v>
      </c>
      <c r="C251" s="163"/>
      <c r="D251" s="163"/>
      <c r="E251" s="163"/>
      <c r="F251" s="163"/>
      <c r="G251" s="163"/>
      <c r="H251" s="163"/>
      <c r="I251" s="163"/>
      <c r="J251" s="163"/>
      <c r="K251" s="1"/>
    </row>
    <row r="252" spans="1:11" ht="22.5" customHeight="1" x14ac:dyDescent="0.25">
      <c r="A252" s="1"/>
      <c r="B252" s="66"/>
      <c r="C252" s="26"/>
      <c r="D252" s="26"/>
      <c r="E252" s="26"/>
      <c r="F252" s="26"/>
      <c r="G252" s="26"/>
      <c r="H252" s="26"/>
      <c r="I252" s="26"/>
      <c r="J252" s="26"/>
      <c r="K252" s="1"/>
    </row>
    <row r="253" spans="1:11" ht="26.25" thickBot="1" x14ac:dyDescent="0.25">
      <c r="A253" s="1"/>
      <c r="B253" s="67" t="s">
        <v>350</v>
      </c>
      <c r="C253" s="67" t="s">
        <v>351</v>
      </c>
      <c r="D253" s="68"/>
      <c r="E253" s="164" t="s">
        <v>352</v>
      </c>
      <c r="F253" s="164"/>
      <c r="G253" s="68" t="s">
        <v>353</v>
      </c>
      <c r="H253" s="69" t="s">
        <v>354</v>
      </c>
      <c r="I253" s="164" t="s">
        <v>355</v>
      </c>
      <c r="J253" s="164"/>
      <c r="K253" s="1"/>
    </row>
    <row r="254" spans="1:11" ht="3.75" customHeight="1" thickBot="1" x14ac:dyDescent="0.3">
      <c r="A254" s="1"/>
      <c r="B254" s="73" t="s">
        <v>395</v>
      </c>
      <c r="C254" s="165" t="s">
        <v>396</v>
      </c>
      <c r="D254" s="165"/>
      <c r="E254" s="166" t="s">
        <v>397</v>
      </c>
      <c r="F254" s="167"/>
      <c r="G254" s="71">
        <v>2012</v>
      </c>
      <c r="H254" s="75">
        <v>8800</v>
      </c>
      <c r="I254" s="168" t="s">
        <v>398</v>
      </c>
      <c r="J254" s="168"/>
      <c r="K254" s="1"/>
    </row>
    <row r="255" spans="1:11" ht="29.25" customHeight="1" thickBot="1" x14ac:dyDescent="0.3">
      <c r="A255" s="1"/>
      <c r="B255" s="73"/>
      <c r="C255" s="165"/>
      <c r="D255" s="165"/>
      <c r="E255" s="173"/>
      <c r="F255" s="174"/>
      <c r="G255" s="74"/>
      <c r="H255" s="75"/>
      <c r="I255" s="168"/>
      <c r="J255" s="168"/>
      <c r="K255" s="1"/>
    </row>
    <row r="256" spans="1:11" ht="24" customHeight="1" thickBot="1" x14ac:dyDescent="0.3">
      <c r="A256" s="1"/>
      <c r="B256" s="73"/>
      <c r="C256" s="172"/>
      <c r="D256" s="172"/>
      <c r="E256" s="173"/>
      <c r="F256" s="174"/>
      <c r="G256" s="74"/>
      <c r="H256" s="75"/>
      <c r="I256" s="168"/>
      <c r="J256" s="168"/>
      <c r="K256" s="1"/>
    </row>
    <row r="257" spans="1:11" ht="24" customHeight="1" thickBot="1" x14ac:dyDescent="0.3">
      <c r="A257" s="1"/>
      <c r="B257" s="73"/>
      <c r="C257" s="172"/>
      <c r="D257" s="172"/>
      <c r="E257" s="173"/>
      <c r="F257" s="174"/>
      <c r="G257" s="74"/>
      <c r="H257" s="75"/>
      <c r="I257" s="168"/>
      <c r="J257" s="168"/>
      <c r="K257" s="1"/>
    </row>
    <row r="258" spans="1:11" ht="24" customHeight="1" thickBot="1" x14ac:dyDescent="0.3">
      <c r="A258" s="1"/>
      <c r="B258" s="73"/>
      <c r="C258" s="172"/>
      <c r="D258" s="172"/>
      <c r="E258" s="173"/>
      <c r="F258" s="174"/>
      <c r="G258" s="74"/>
      <c r="H258" s="75"/>
      <c r="I258" s="168"/>
      <c r="J258" s="168"/>
      <c r="K258" s="1"/>
    </row>
    <row r="259" spans="1:11" ht="24" customHeight="1" thickBot="1" x14ac:dyDescent="0.3">
      <c r="A259" s="1"/>
      <c r="B259" s="73"/>
      <c r="C259" s="172"/>
      <c r="D259" s="172"/>
      <c r="E259" s="173"/>
      <c r="F259" s="174"/>
      <c r="G259" s="74"/>
      <c r="H259" s="75"/>
      <c r="I259" s="168"/>
      <c r="J259" s="168"/>
      <c r="K259" s="1"/>
    </row>
    <row r="260" spans="1:11" ht="24" customHeight="1" thickBot="1" x14ac:dyDescent="0.3">
      <c r="A260" s="1"/>
      <c r="B260" s="73"/>
      <c r="C260" s="172"/>
      <c r="D260" s="172"/>
      <c r="E260" s="173"/>
      <c r="F260" s="174"/>
      <c r="G260" s="74"/>
      <c r="H260" s="75"/>
      <c r="I260" s="168"/>
      <c r="J260" s="168"/>
      <c r="K260" s="1"/>
    </row>
    <row r="261" spans="1:11" ht="24" customHeight="1" thickBot="1" x14ac:dyDescent="0.3">
      <c r="A261" s="1"/>
      <c r="B261" s="73"/>
      <c r="C261" s="172"/>
      <c r="D261" s="172"/>
      <c r="E261" s="173"/>
      <c r="F261" s="174"/>
      <c r="G261" s="74"/>
      <c r="H261" s="75"/>
      <c r="I261" s="175"/>
      <c r="J261" s="175"/>
      <c r="K261" s="1"/>
    </row>
    <row r="262" spans="1:11" ht="24" customHeight="1" thickBot="1" x14ac:dyDescent="0.3">
      <c r="A262" s="1"/>
      <c r="B262" s="73"/>
      <c r="C262" s="172"/>
      <c r="D262" s="172"/>
      <c r="E262" s="173"/>
      <c r="F262" s="174"/>
      <c r="G262" s="74"/>
      <c r="H262" s="75"/>
      <c r="I262" s="175"/>
      <c r="J262" s="175"/>
      <c r="K262" s="1"/>
    </row>
    <row r="263" spans="1:11" ht="24" customHeight="1" thickBot="1" x14ac:dyDescent="0.3">
      <c r="A263" s="1"/>
      <c r="B263" s="73"/>
      <c r="C263" s="172"/>
      <c r="D263" s="172"/>
      <c r="E263" s="173"/>
      <c r="F263" s="174"/>
      <c r="G263" s="74"/>
      <c r="H263" s="75"/>
      <c r="I263" s="175"/>
      <c r="J263" s="175"/>
      <c r="K263" s="1"/>
    </row>
    <row r="264" spans="1:11" ht="24" customHeight="1" thickBot="1" x14ac:dyDescent="0.3">
      <c r="A264" s="1"/>
      <c r="B264" s="73"/>
      <c r="C264" s="172"/>
      <c r="D264" s="172"/>
      <c r="E264" s="173"/>
      <c r="F264" s="174"/>
      <c r="G264" s="74"/>
      <c r="H264" s="75"/>
      <c r="I264" s="168"/>
      <c r="J264" s="168"/>
      <c r="K264" s="1"/>
    </row>
    <row r="265" spans="1:11" ht="24" customHeight="1" thickBot="1" x14ac:dyDescent="0.3">
      <c r="A265" s="1"/>
      <c r="B265" s="76"/>
      <c r="C265" s="186"/>
      <c r="D265" s="187"/>
      <c r="E265" s="180"/>
      <c r="F265" s="181"/>
      <c r="G265" s="77"/>
      <c r="H265" s="78"/>
      <c r="I265" s="185"/>
      <c r="J265" s="175"/>
      <c r="K265" s="1"/>
    </row>
    <row r="266" spans="1:11" ht="24" customHeight="1" thickBot="1" x14ac:dyDescent="0.3">
      <c r="A266" s="1"/>
      <c r="B266" s="76"/>
      <c r="C266" s="186"/>
      <c r="D266" s="187"/>
      <c r="E266" s="180"/>
      <c r="F266" s="181"/>
      <c r="G266" s="77"/>
      <c r="H266" s="78"/>
      <c r="I266" s="185"/>
      <c r="J266" s="175"/>
      <c r="K266" s="1"/>
    </row>
    <row r="267" spans="1:11" ht="24" customHeight="1" thickBot="1" x14ac:dyDescent="0.3">
      <c r="A267" s="1"/>
      <c r="B267" s="73"/>
      <c r="C267" s="172"/>
      <c r="D267" s="172"/>
      <c r="E267" s="173"/>
      <c r="F267" s="174"/>
      <c r="G267" s="77"/>
      <c r="H267" s="78"/>
      <c r="I267" s="185"/>
      <c r="J267" s="175"/>
      <c r="K267" s="1"/>
    </row>
    <row r="268" spans="1:11" ht="15" customHeight="1" x14ac:dyDescent="0.25">
      <c r="A268" s="1"/>
      <c r="B268" s="76"/>
      <c r="C268" s="81"/>
      <c r="D268" s="81"/>
      <c r="E268" s="82"/>
      <c r="F268" s="83"/>
      <c r="G268" s="77"/>
      <c r="H268" s="78"/>
      <c r="I268" s="84"/>
      <c r="J268" s="84"/>
      <c r="K268" s="1"/>
    </row>
    <row r="269" spans="1:11" ht="12" customHeight="1" x14ac:dyDescent="0.25">
      <c r="A269" s="1"/>
      <c r="B269" s="79"/>
      <c r="C269" s="1"/>
      <c r="D269" s="1"/>
      <c r="E269" s="1"/>
      <c r="F269" s="1"/>
      <c r="G269" s="1"/>
      <c r="H269" s="1"/>
      <c r="I269" s="1"/>
      <c r="J269" s="1"/>
      <c r="K269" s="1"/>
    </row>
    <row r="270" spans="1:11" x14ac:dyDescent="0.25">
      <c r="A270" s="1"/>
      <c r="B270" s="65"/>
      <c r="C270" s="26"/>
      <c r="D270" s="26"/>
      <c r="E270" s="26"/>
      <c r="F270" s="26"/>
      <c r="G270" s="26"/>
      <c r="H270" s="26"/>
      <c r="I270" s="26"/>
      <c r="J270" s="26"/>
      <c r="K270" s="1"/>
    </row>
    <row r="271" spans="1:11" ht="17.25" customHeight="1" x14ac:dyDescent="0.25">
      <c r="A271" s="1"/>
      <c r="B271" s="163" t="s">
        <v>399</v>
      </c>
      <c r="C271" s="163"/>
      <c r="D271" s="163"/>
      <c r="E271" s="163"/>
      <c r="F271" s="163"/>
      <c r="G271" s="163"/>
      <c r="H271" s="163"/>
      <c r="I271" s="163"/>
      <c r="J271" s="163"/>
      <c r="K271" s="1"/>
    </row>
    <row r="272" spans="1:11" ht="29.25" customHeight="1" x14ac:dyDescent="0.25">
      <c r="A272" s="1"/>
      <c r="B272" s="66"/>
      <c r="C272" s="26"/>
      <c r="D272" s="26"/>
      <c r="E272" s="26"/>
      <c r="F272" s="26"/>
      <c r="G272" s="26"/>
      <c r="H272" s="26"/>
      <c r="I272" s="26"/>
      <c r="J272" s="26"/>
      <c r="K272" s="1"/>
    </row>
    <row r="273" spans="1:11" ht="24" customHeight="1" thickBot="1" x14ac:dyDescent="0.25">
      <c r="A273" s="1"/>
      <c r="B273" s="67" t="s">
        <v>350</v>
      </c>
      <c r="C273" s="67" t="s">
        <v>351</v>
      </c>
      <c r="D273" s="68"/>
      <c r="E273" s="164" t="s">
        <v>352</v>
      </c>
      <c r="F273" s="164"/>
      <c r="G273" s="68" t="s">
        <v>353</v>
      </c>
      <c r="H273" s="69" t="s">
        <v>354</v>
      </c>
      <c r="I273" s="164" t="s">
        <v>355</v>
      </c>
      <c r="J273" s="164"/>
      <c r="K273" s="1"/>
    </row>
    <row r="274" spans="1:11" ht="24" customHeight="1" thickBot="1" x14ac:dyDescent="0.3">
      <c r="A274" s="1"/>
      <c r="B274" s="99" t="s">
        <v>481</v>
      </c>
      <c r="C274" s="193" t="s">
        <v>479</v>
      </c>
      <c r="D274" s="194"/>
      <c r="E274" s="166" t="s">
        <v>480</v>
      </c>
      <c r="F274" s="167"/>
      <c r="G274" s="71">
        <v>2020</v>
      </c>
      <c r="H274" s="75">
        <v>6000000</v>
      </c>
      <c r="I274" s="168" t="s">
        <v>460</v>
      </c>
      <c r="J274" s="168"/>
      <c r="K274" s="1"/>
    </row>
    <row r="275" spans="1:11" ht="24" customHeight="1" thickBot="1" x14ac:dyDescent="0.3">
      <c r="A275" s="1"/>
      <c r="B275" s="99" t="s">
        <v>512</v>
      </c>
      <c r="C275" s="188" t="s">
        <v>523</v>
      </c>
      <c r="D275" s="189" t="s">
        <v>523</v>
      </c>
      <c r="E275" s="195" t="s">
        <v>519</v>
      </c>
      <c r="F275" s="196"/>
      <c r="G275" s="74"/>
      <c r="H275" s="100">
        <v>55000000</v>
      </c>
      <c r="I275" s="168" t="s">
        <v>511</v>
      </c>
      <c r="J275" s="168"/>
      <c r="K275" s="1"/>
    </row>
    <row r="276" spans="1:11" ht="24" customHeight="1" thickBot="1" x14ac:dyDescent="0.3">
      <c r="A276" s="1"/>
      <c r="B276" s="99" t="s">
        <v>513</v>
      </c>
      <c r="C276" s="188" t="s">
        <v>524</v>
      </c>
      <c r="D276" s="189" t="s">
        <v>525</v>
      </c>
      <c r="E276" s="190" t="s">
        <v>520</v>
      </c>
      <c r="F276" s="191"/>
      <c r="G276" s="71"/>
      <c r="H276" s="100">
        <v>75000000</v>
      </c>
      <c r="I276" s="168" t="s">
        <v>511</v>
      </c>
      <c r="J276" s="168"/>
      <c r="K276" s="1"/>
    </row>
    <row r="277" spans="1:11" ht="24" customHeight="1" thickBot="1" x14ac:dyDescent="0.3">
      <c r="A277" s="1"/>
      <c r="B277" s="99" t="s">
        <v>514</v>
      </c>
      <c r="C277" s="188" t="s">
        <v>526</v>
      </c>
      <c r="D277" s="189" t="s">
        <v>526</v>
      </c>
      <c r="E277" s="192" t="s">
        <v>521</v>
      </c>
      <c r="F277" s="181"/>
      <c r="G277" s="74"/>
      <c r="H277" s="100">
        <v>14000000</v>
      </c>
      <c r="I277" s="168" t="s">
        <v>511</v>
      </c>
      <c r="J277" s="168"/>
      <c r="K277" s="1"/>
    </row>
    <row r="278" spans="1:11" ht="24" customHeight="1" thickBot="1" x14ac:dyDescent="0.3">
      <c r="A278" s="1"/>
      <c r="B278" s="99" t="s">
        <v>515</v>
      </c>
      <c r="C278" s="188" t="s">
        <v>527</v>
      </c>
      <c r="D278" s="189" t="s">
        <v>527</v>
      </c>
      <c r="E278" s="192" t="s">
        <v>522</v>
      </c>
      <c r="F278" s="181"/>
      <c r="G278" s="74"/>
      <c r="H278" s="100">
        <v>13000000</v>
      </c>
      <c r="I278" s="168" t="s">
        <v>511</v>
      </c>
      <c r="J278" s="168"/>
      <c r="K278" s="1"/>
    </row>
    <row r="279" spans="1:11" ht="24" customHeight="1" thickBot="1" x14ac:dyDescent="0.3">
      <c r="A279" s="1"/>
      <c r="B279" s="5"/>
      <c r="G279" s="74"/>
      <c r="H279" s="75"/>
      <c r="I279" s="175"/>
      <c r="J279" s="175"/>
      <c r="K279" s="1"/>
    </row>
    <row r="280" spans="1:11" ht="24" customHeight="1" thickBot="1" x14ac:dyDescent="0.3">
      <c r="A280" s="1"/>
      <c r="B280" s="99" t="s">
        <v>516</v>
      </c>
      <c r="C280" s="188" t="s">
        <v>528</v>
      </c>
      <c r="D280" s="189" t="s">
        <v>528</v>
      </c>
      <c r="E280" s="173" t="s">
        <v>531</v>
      </c>
      <c r="F280" s="174"/>
      <c r="G280" s="74"/>
      <c r="H280" s="100">
        <v>13000000</v>
      </c>
      <c r="I280" s="168" t="s">
        <v>511</v>
      </c>
      <c r="J280" s="168"/>
      <c r="K280" s="1"/>
    </row>
    <row r="281" spans="1:11" ht="24" customHeight="1" thickBot="1" x14ac:dyDescent="0.3">
      <c r="A281" s="1"/>
      <c r="B281" s="99" t="s">
        <v>517</v>
      </c>
      <c r="C281" s="188" t="s">
        <v>529</v>
      </c>
      <c r="D281" s="189" t="s">
        <v>529</v>
      </c>
      <c r="E281" s="173" t="s">
        <v>532</v>
      </c>
      <c r="F281" s="174"/>
      <c r="G281" s="74"/>
      <c r="H281" s="100">
        <v>12000000</v>
      </c>
      <c r="I281" s="168" t="s">
        <v>511</v>
      </c>
      <c r="J281" s="168"/>
      <c r="K281" s="1"/>
    </row>
    <row r="282" spans="1:11" ht="24" customHeight="1" thickBot="1" x14ac:dyDescent="0.3">
      <c r="A282" s="1"/>
      <c r="B282" s="99" t="s">
        <v>518</v>
      </c>
      <c r="C282" s="188" t="s">
        <v>530</v>
      </c>
      <c r="D282" s="189" t="s">
        <v>530</v>
      </c>
      <c r="E282" s="173" t="s">
        <v>533</v>
      </c>
      <c r="F282" s="174"/>
      <c r="G282" s="74"/>
      <c r="H282" s="100">
        <v>150000000</v>
      </c>
      <c r="I282" s="168" t="s">
        <v>511</v>
      </c>
      <c r="J282" s="168"/>
      <c r="K282" s="1"/>
    </row>
    <row r="283" spans="1:11" ht="24" customHeight="1" thickBot="1" x14ac:dyDescent="0.3">
      <c r="A283" s="1"/>
      <c r="B283" s="73"/>
      <c r="C283" s="172"/>
      <c r="D283" s="172"/>
      <c r="E283" s="173"/>
      <c r="F283" s="174"/>
      <c r="G283" s="74"/>
      <c r="H283" s="75"/>
      <c r="I283" s="175"/>
      <c r="J283" s="175"/>
      <c r="K283" s="1"/>
    </row>
    <row r="284" spans="1:11" ht="24" customHeight="1" thickBot="1" x14ac:dyDescent="0.3">
      <c r="A284" s="1"/>
      <c r="B284" s="73"/>
      <c r="C284" s="172"/>
      <c r="D284" s="172"/>
      <c r="E284" s="173"/>
      <c r="F284" s="174"/>
      <c r="G284" s="74"/>
      <c r="H284" s="75"/>
      <c r="I284" s="175"/>
      <c r="J284" s="175"/>
      <c r="K284" s="1"/>
    </row>
    <row r="285" spans="1:11" ht="4.5" customHeight="1" x14ac:dyDescent="0.25">
      <c r="A285" s="1"/>
      <c r="B285" s="76"/>
      <c r="C285" s="176"/>
      <c r="D285" s="176"/>
      <c r="E285" s="177"/>
      <c r="F285" s="178"/>
      <c r="G285" s="77"/>
      <c r="H285" s="78"/>
      <c r="I285" s="179"/>
      <c r="J285" s="179"/>
      <c r="K285" s="1"/>
    </row>
    <row r="286" spans="1:11" ht="21" customHeight="1" x14ac:dyDescent="0.25">
      <c r="A286" s="1"/>
      <c r="B286" s="79"/>
      <c r="C286" s="1"/>
      <c r="D286" s="1"/>
      <c r="E286" s="1"/>
      <c r="F286" s="1"/>
      <c r="G286" s="1"/>
      <c r="H286" s="1"/>
      <c r="I286" s="1"/>
      <c r="J286" s="1"/>
      <c r="K286" s="1"/>
    </row>
    <row r="287" spans="1:11" x14ac:dyDescent="0.25">
      <c r="A287" s="1"/>
      <c r="B287" s="65"/>
      <c r="C287" s="26"/>
      <c r="D287" s="26"/>
      <c r="E287" s="26"/>
      <c r="F287" s="26"/>
      <c r="G287" s="26"/>
      <c r="H287" s="26"/>
      <c r="I287" s="26"/>
      <c r="J287" s="26"/>
      <c r="K287" s="1"/>
    </row>
    <row r="288" spans="1:11" ht="16.5" customHeight="1" x14ac:dyDescent="0.25">
      <c r="A288" s="1"/>
      <c r="B288" s="163" t="s">
        <v>400</v>
      </c>
      <c r="C288" s="163"/>
      <c r="D288" s="163"/>
      <c r="E288" s="163"/>
      <c r="F288" s="163"/>
      <c r="G288" s="163"/>
      <c r="H288" s="163"/>
      <c r="I288" s="163"/>
      <c r="J288" s="163"/>
      <c r="K288" s="1"/>
    </row>
    <row r="289" spans="1:11" ht="29.25" customHeight="1" x14ac:dyDescent="0.25">
      <c r="A289" s="1"/>
      <c r="B289" s="66"/>
      <c r="C289" s="26"/>
      <c r="D289" s="26"/>
      <c r="E289" s="26"/>
      <c r="F289" s="26"/>
      <c r="G289" s="26"/>
      <c r="H289" s="26"/>
      <c r="I289" s="26"/>
      <c r="J289" s="26"/>
      <c r="K289" s="1"/>
    </row>
    <row r="290" spans="1:11" ht="24" customHeight="1" thickBot="1" x14ac:dyDescent="0.25">
      <c r="A290" s="1"/>
      <c r="B290" s="67" t="s">
        <v>350</v>
      </c>
      <c r="C290" s="67" t="s">
        <v>351</v>
      </c>
      <c r="D290" s="68"/>
      <c r="E290" s="164" t="s">
        <v>352</v>
      </c>
      <c r="F290" s="164"/>
      <c r="G290" s="68" t="s">
        <v>353</v>
      </c>
      <c r="H290" s="69" t="s">
        <v>354</v>
      </c>
      <c r="I290" s="164" t="s">
        <v>355</v>
      </c>
      <c r="J290" s="164"/>
      <c r="K290" s="1"/>
    </row>
    <row r="291" spans="1:11" ht="24" customHeight="1" thickBot="1" x14ac:dyDescent="0.3">
      <c r="A291" s="1"/>
      <c r="B291" s="73"/>
      <c r="C291" s="165"/>
      <c r="D291" s="165"/>
      <c r="E291" s="166"/>
      <c r="F291" s="167"/>
      <c r="G291" s="71"/>
      <c r="H291" s="75"/>
      <c r="I291" s="168"/>
      <c r="J291" s="168"/>
      <c r="K291" s="1"/>
    </row>
    <row r="292" spans="1:11" ht="24" customHeight="1" thickBot="1" x14ac:dyDescent="0.3">
      <c r="A292" s="1"/>
      <c r="B292" s="73"/>
      <c r="C292" s="172"/>
      <c r="D292" s="172"/>
      <c r="E292" s="173"/>
      <c r="F292" s="174"/>
      <c r="G292" s="74"/>
      <c r="H292" s="75"/>
      <c r="I292" s="168"/>
      <c r="J292" s="168"/>
      <c r="K292" s="1"/>
    </row>
    <row r="293" spans="1:11" ht="24" customHeight="1" thickBot="1" x14ac:dyDescent="0.3">
      <c r="A293" s="1"/>
      <c r="B293" s="73"/>
      <c r="C293" s="172"/>
      <c r="D293" s="172"/>
      <c r="E293" s="173"/>
      <c r="F293" s="174"/>
      <c r="G293" s="74"/>
      <c r="H293" s="75"/>
      <c r="I293" s="168"/>
      <c r="J293" s="168"/>
      <c r="K293" s="1"/>
    </row>
    <row r="294" spans="1:11" ht="24" customHeight="1" thickBot="1" x14ac:dyDescent="0.3">
      <c r="A294" s="1"/>
      <c r="B294" s="73"/>
      <c r="C294" s="172"/>
      <c r="D294" s="172"/>
      <c r="E294" s="173"/>
      <c r="F294" s="174"/>
      <c r="G294" s="74"/>
      <c r="H294" s="75"/>
      <c r="I294" s="168"/>
      <c r="J294" s="168"/>
      <c r="K294" s="1"/>
    </row>
    <row r="295" spans="1:11" ht="24" customHeight="1" thickBot="1" x14ac:dyDescent="0.3">
      <c r="A295" s="1"/>
      <c r="B295" s="73"/>
      <c r="C295" s="172"/>
      <c r="D295" s="172"/>
      <c r="E295" s="173"/>
      <c r="F295" s="174"/>
      <c r="G295" s="74"/>
      <c r="H295" s="75"/>
      <c r="I295" s="168"/>
      <c r="J295" s="168"/>
      <c r="K295" s="1"/>
    </row>
    <row r="296" spans="1:11" ht="24" customHeight="1" thickBot="1" x14ac:dyDescent="0.3">
      <c r="A296" s="1"/>
      <c r="B296" s="73"/>
      <c r="C296" s="172"/>
      <c r="D296" s="172"/>
      <c r="E296" s="173"/>
      <c r="F296" s="174"/>
      <c r="G296" s="74"/>
      <c r="H296" s="75"/>
      <c r="I296" s="168"/>
      <c r="J296" s="168"/>
      <c r="K296" s="1"/>
    </row>
    <row r="297" spans="1:11" ht="24" customHeight="1" thickBot="1" x14ac:dyDescent="0.3">
      <c r="A297" s="1"/>
      <c r="B297" s="73"/>
      <c r="C297" s="172"/>
      <c r="D297" s="172"/>
      <c r="E297" s="173"/>
      <c r="F297" s="174"/>
      <c r="G297" s="74"/>
      <c r="H297" s="75"/>
      <c r="I297" s="175"/>
      <c r="J297" s="175"/>
      <c r="K297" s="1"/>
    </row>
    <row r="298" spans="1:11" ht="24" customHeight="1" thickBot="1" x14ac:dyDescent="0.3">
      <c r="A298" s="1"/>
      <c r="B298" s="73"/>
      <c r="C298" s="172"/>
      <c r="D298" s="172"/>
      <c r="E298" s="173"/>
      <c r="F298" s="174"/>
      <c r="G298" s="74"/>
      <c r="H298" s="75"/>
      <c r="I298" s="175"/>
      <c r="J298" s="175"/>
      <c r="K298" s="1"/>
    </row>
    <row r="299" spans="1:11" ht="24" customHeight="1" thickBot="1" x14ac:dyDescent="0.3">
      <c r="A299" s="1"/>
      <c r="B299" s="73"/>
      <c r="C299" s="172"/>
      <c r="D299" s="172"/>
      <c r="E299" s="173"/>
      <c r="F299" s="174"/>
      <c r="G299" s="74"/>
      <c r="H299" s="75"/>
      <c r="I299" s="175"/>
      <c r="J299" s="175"/>
      <c r="K299" s="1"/>
    </row>
    <row r="300" spans="1:11" ht="24" customHeight="1" thickBot="1" x14ac:dyDescent="0.3">
      <c r="A300" s="1"/>
      <c r="B300" s="73"/>
      <c r="C300" s="172"/>
      <c r="D300" s="172"/>
      <c r="E300" s="173"/>
      <c r="F300" s="174"/>
      <c r="G300" s="74"/>
      <c r="H300" s="75"/>
      <c r="I300" s="175"/>
      <c r="J300" s="175"/>
      <c r="K300" s="1"/>
    </row>
    <row r="301" spans="1:11" ht="24" customHeight="1" x14ac:dyDescent="0.25">
      <c r="A301" s="1"/>
      <c r="B301" s="76"/>
      <c r="C301" s="176"/>
      <c r="D301" s="176"/>
      <c r="E301" s="177"/>
      <c r="F301" s="178"/>
      <c r="G301" s="77"/>
      <c r="H301" s="78"/>
      <c r="I301" s="179"/>
      <c r="J301" s="179"/>
      <c r="K301" s="1"/>
    </row>
    <row r="302" spans="1:11" ht="23.25" customHeight="1" x14ac:dyDescent="0.25">
      <c r="A302" s="1"/>
      <c r="B302" s="79"/>
      <c r="C302" s="1"/>
      <c r="D302" s="1"/>
      <c r="E302" s="1"/>
      <c r="F302" s="1"/>
      <c r="G302" s="1"/>
      <c r="H302" s="1"/>
      <c r="I302" s="1"/>
      <c r="J302" s="1"/>
      <c r="K302" s="1"/>
    </row>
    <row r="303" spans="1:11" ht="21" customHeight="1" x14ac:dyDescent="0.25">
      <c r="A303" s="1"/>
      <c r="B303" s="65"/>
      <c r="C303" s="26"/>
      <c r="D303" s="26"/>
      <c r="E303" s="26"/>
      <c r="F303" s="26"/>
      <c r="G303" s="26"/>
      <c r="H303" s="26"/>
      <c r="I303" s="26"/>
      <c r="J303" s="26"/>
      <c r="K303" s="1"/>
    </row>
    <row r="304" spans="1:11" ht="15.75" x14ac:dyDescent="0.25">
      <c r="A304" s="1"/>
      <c r="B304" s="163" t="s">
        <v>401</v>
      </c>
      <c r="C304" s="163"/>
      <c r="D304" s="163"/>
      <c r="E304" s="163"/>
      <c r="F304" s="163"/>
      <c r="G304" s="163"/>
      <c r="H304" s="163"/>
      <c r="I304" s="163"/>
      <c r="J304" s="163"/>
      <c r="K304" s="1"/>
    </row>
    <row r="305" spans="1:11" ht="3.75" customHeight="1" x14ac:dyDescent="0.25">
      <c r="A305" s="1"/>
      <c r="B305" s="66"/>
      <c r="C305" s="26"/>
      <c r="D305" s="26"/>
      <c r="E305" s="26"/>
      <c r="F305" s="26"/>
      <c r="G305" s="26"/>
      <c r="H305" s="26"/>
      <c r="I305" s="26"/>
      <c r="J305" s="26"/>
      <c r="K305" s="1"/>
    </row>
    <row r="306" spans="1:11" ht="29.25" customHeight="1" thickBot="1" x14ac:dyDescent="0.25">
      <c r="A306" s="1"/>
      <c r="B306" s="67" t="s">
        <v>350</v>
      </c>
      <c r="C306" s="67" t="s">
        <v>351</v>
      </c>
      <c r="D306" s="68"/>
      <c r="E306" s="164" t="s">
        <v>352</v>
      </c>
      <c r="F306" s="164"/>
      <c r="G306" s="68" t="s">
        <v>353</v>
      </c>
      <c r="H306" s="69" t="s">
        <v>354</v>
      </c>
      <c r="I306" s="164" t="s">
        <v>355</v>
      </c>
      <c r="J306" s="164"/>
      <c r="K306" s="1"/>
    </row>
    <row r="307" spans="1:11" ht="24" customHeight="1" thickBot="1" x14ac:dyDescent="0.3">
      <c r="A307" s="1"/>
      <c r="B307" s="99" t="s">
        <v>494</v>
      </c>
      <c r="C307" s="188" t="s">
        <v>495</v>
      </c>
      <c r="D307" s="189"/>
      <c r="E307" s="166" t="s">
        <v>496</v>
      </c>
      <c r="F307" s="167"/>
      <c r="G307" s="71">
        <v>2016</v>
      </c>
      <c r="H307" s="75">
        <v>1300000</v>
      </c>
      <c r="I307" s="168" t="s">
        <v>460</v>
      </c>
      <c r="J307" s="168"/>
      <c r="K307" s="1"/>
    </row>
    <row r="308" spans="1:11" ht="24" customHeight="1" thickBot="1" x14ac:dyDescent="0.3">
      <c r="A308" s="1"/>
      <c r="B308" s="99" t="s">
        <v>506</v>
      </c>
      <c r="C308" s="188" t="s">
        <v>507</v>
      </c>
      <c r="D308" s="189"/>
      <c r="E308" s="173" t="s">
        <v>455</v>
      </c>
      <c r="F308" s="174"/>
      <c r="G308" s="71">
        <v>2015</v>
      </c>
      <c r="H308" s="75">
        <v>1100000</v>
      </c>
      <c r="I308" s="168" t="s">
        <v>460</v>
      </c>
      <c r="J308" s="168"/>
      <c r="K308" s="1"/>
    </row>
    <row r="309" spans="1:11" ht="24" customHeight="1" thickBot="1" x14ac:dyDescent="0.3">
      <c r="A309" s="1"/>
      <c r="B309" s="99" t="s">
        <v>508</v>
      </c>
      <c r="C309" s="188" t="s">
        <v>509</v>
      </c>
      <c r="D309" s="189"/>
      <c r="E309" s="173" t="s">
        <v>415</v>
      </c>
      <c r="F309" s="174"/>
      <c r="G309" s="74">
        <v>2012</v>
      </c>
      <c r="H309" s="75">
        <v>43400000</v>
      </c>
      <c r="I309" s="168" t="s">
        <v>460</v>
      </c>
      <c r="J309" s="168"/>
      <c r="K309" s="1"/>
    </row>
    <row r="310" spans="1:11" ht="24" customHeight="1" thickBot="1" x14ac:dyDescent="0.3">
      <c r="A310" s="1"/>
      <c r="B310" s="99" t="s">
        <v>497</v>
      </c>
      <c r="C310" s="188" t="s">
        <v>503</v>
      </c>
      <c r="D310" s="189"/>
      <c r="E310" s="101" t="s">
        <v>500</v>
      </c>
      <c r="F310" s="101" t="s">
        <v>500</v>
      </c>
      <c r="G310" s="74"/>
      <c r="H310" s="100">
        <v>11000000</v>
      </c>
      <c r="I310" s="168" t="s">
        <v>510</v>
      </c>
      <c r="J310" s="168"/>
      <c r="K310" s="1"/>
    </row>
    <row r="311" spans="1:11" ht="24" customHeight="1" thickBot="1" x14ac:dyDescent="0.3">
      <c r="A311" s="1"/>
      <c r="B311" s="99" t="s">
        <v>498</v>
      </c>
      <c r="C311" s="188" t="s">
        <v>504</v>
      </c>
      <c r="D311" s="189"/>
      <c r="E311" s="101" t="s">
        <v>501</v>
      </c>
      <c r="F311" s="101" t="s">
        <v>501</v>
      </c>
      <c r="G311" s="74"/>
      <c r="H311" s="100">
        <v>18000000</v>
      </c>
      <c r="I311" s="168" t="s">
        <v>510</v>
      </c>
      <c r="J311" s="168"/>
      <c r="K311" s="1"/>
    </row>
    <row r="312" spans="1:11" ht="24" customHeight="1" thickBot="1" x14ac:dyDescent="0.3">
      <c r="A312" s="1"/>
      <c r="B312" s="99" t="s">
        <v>499</v>
      </c>
      <c r="C312" s="188" t="s">
        <v>505</v>
      </c>
      <c r="D312" s="189"/>
      <c r="E312" s="101" t="s">
        <v>502</v>
      </c>
      <c r="F312" s="101" t="s">
        <v>502</v>
      </c>
      <c r="G312" s="74"/>
      <c r="H312" s="100">
        <v>14600000</v>
      </c>
      <c r="I312" s="168" t="s">
        <v>511</v>
      </c>
      <c r="J312" s="168"/>
      <c r="K312" s="1"/>
    </row>
    <row r="313" spans="1:11" ht="24" customHeight="1" thickBot="1" x14ac:dyDescent="0.3">
      <c r="A313" s="1"/>
      <c r="B313" s="73"/>
      <c r="C313" s="172"/>
      <c r="D313" s="172"/>
      <c r="E313" s="173"/>
      <c r="F313" s="174"/>
      <c r="G313" s="74"/>
      <c r="H313" s="75"/>
      <c r="I313" s="175"/>
      <c r="J313" s="175"/>
      <c r="K313" s="1"/>
    </row>
    <row r="314" spans="1:11" ht="24" customHeight="1" thickBot="1" x14ac:dyDescent="0.3">
      <c r="A314" s="1"/>
      <c r="B314" s="73"/>
      <c r="C314" s="172"/>
      <c r="D314" s="172"/>
      <c r="E314" s="173"/>
      <c r="F314" s="174"/>
      <c r="G314" s="74"/>
      <c r="H314" s="75"/>
      <c r="I314" s="175"/>
      <c r="J314" s="175"/>
      <c r="K314" s="1"/>
    </row>
    <row r="315" spans="1:11" ht="24" customHeight="1" thickBot="1" x14ac:dyDescent="0.3">
      <c r="A315" s="1"/>
      <c r="B315" s="73"/>
      <c r="C315" s="172"/>
      <c r="D315" s="172"/>
      <c r="E315" s="173"/>
      <c r="F315" s="174"/>
      <c r="G315" s="74"/>
      <c r="H315" s="75"/>
      <c r="I315" s="175"/>
      <c r="J315" s="175"/>
      <c r="K315" s="1"/>
    </row>
    <row r="316" spans="1:11" ht="24" customHeight="1" thickBot="1" x14ac:dyDescent="0.3">
      <c r="A316" s="1"/>
      <c r="B316" s="73"/>
      <c r="C316" s="172"/>
      <c r="D316" s="172"/>
      <c r="E316" s="173"/>
      <c r="F316" s="174"/>
      <c r="G316" s="74"/>
      <c r="H316" s="75"/>
      <c r="I316" s="175"/>
      <c r="J316" s="175"/>
      <c r="K316" s="1"/>
    </row>
    <row r="317" spans="1:11" ht="24" customHeight="1" thickBot="1" x14ac:dyDescent="0.3">
      <c r="A317" s="1"/>
      <c r="B317" s="73"/>
      <c r="C317" s="172"/>
      <c r="D317" s="172"/>
      <c r="E317" s="173"/>
      <c r="F317" s="174"/>
      <c r="G317" s="74"/>
      <c r="H317" s="75"/>
      <c r="I317" s="175"/>
      <c r="J317" s="175"/>
      <c r="K317" s="1"/>
    </row>
    <row r="318" spans="1:11" ht="24" customHeight="1" thickBot="1" x14ac:dyDescent="0.3">
      <c r="A318" s="1"/>
      <c r="B318" s="76"/>
      <c r="C318" s="176"/>
      <c r="D318" s="176"/>
      <c r="E318" s="177"/>
      <c r="F318" s="178"/>
      <c r="G318" s="71"/>
      <c r="H318" s="72"/>
      <c r="I318" s="179"/>
      <c r="J318" s="179"/>
      <c r="K318" s="1"/>
    </row>
    <row r="319" spans="1:11" ht="34.5" customHeight="1" x14ac:dyDescent="0.25">
      <c r="A319" s="1"/>
      <c r="B319" s="79"/>
      <c r="C319" s="1"/>
      <c r="D319" s="1"/>
      <c r="E319" s="1"/>
      <c r="F319" s="1"/>
      <c r="G319" s="1"/>
      <c r="H319" s="1"/>
      <c r="I319" s="1"/>
      <c r="J319" s="1"/>
      <c r="K319" s="1"/>
    </row>
    <row r="320" spans="1:11" ht="12" customHeight="1" x14ac:dyDescent="0.25">
      <c r="A320" s="1"/>
      <c r="B320" s="65"/>
      <c r="C320" s="26"/>
      <c r="D320" s="26"/>
      <c r="E320" s="26"/>
      <c r="F320" s="26"/>
      <c r="G320" s="26"/>
      <c r="H320" s="26"/>
      <c r="I320" s="26"/>
      <c r="J320" s="26"/>
      <c r="K320" s="1"/>
    </row>
    <row r="321" spans="1:11" ht="15.75" x14ac:dyDescent="0.25">
      <c r="A321" s="1"/>
      <c r="B321" s="163" t="s">
        <v>402</v>
      </c>
      <c r="C321" s="163"/>
      <c r="D321" s="163"/>
      <c r="E321" s="163"/>
      <c r="F321" s="163"/>
      <c r="G321" s="163"/>
      <c r="H321" s="163"/>
      <c r="I321" s="163"/>
      <c r="J321" s="163"/>
      <c r="K321" s="1"/>
    </row>
    <row r="322" spans="1:11" ht="3.75" customHeight="1" x14ac:dyDescent="0.25">
      <c r="A322" s="1"/>
      <c r="B322" s="66"/>
      <c r="C322" s="26"/>
      <c r="D322" s="26"/>
      <c r="E322" s="26"/>
      <c r="F322" s="26"/>
      <c r="G322" s="26"/>
      <c r="H322" s="26"/>
      <c r="I322" s="26"/>
      <c r="J322" s="26"/>
      <c r="K322" s="1"/>
    </row>
    <row r="323" spans="1:11" ht="29.25" customHeight="1" thickBot="1" x14ac:dyDescent="0.25">
      <c r="A323" s="1"/>
      <c r="B323" s="67" t="s">
        <v>350</v>
      </c>
      <c r="C323" s="67" t="s">
        <v>351</v>
      </c>
      <c r="D323" s="68"/>
      <c r="E323" s="164" t="s">
        <v>352</v>
      </c>
      <c r="F323" s="164"/>
      <c r="G323" s="68" t="s">
        <v>353</v>
      </c>
      <c r="H323" s="69" t="s">
        <v>354</v>
      </c>
      <c r="I323" s="164" t="s">
        <v>355</v>
      </c>
      <c r="J323" s="164"/>
      <c r="K323" s="1"/>
    </row>
    <row r="324" spans="1:11" ht="24" customHeight="1" thickBot="1" x14ac:dyDescent="0.3">
      <c r="A324" s="1"/>
      <c r="B324" s="99" t="s">
        <v>490</v>
      </c>
      <c r="C324" s="188" t="s">
        <v>489</v>
      </c>
      <c r="D324" s="189" t="s">
        <v>488</v>
      </c>
      <c r="E324" s="173" t="s">
        <v>415</v>
      </c>
      <c r="F324" s="174"/>
      <c r="G324" s="71">
        <v>2019</v>
      </c>
      <c r="H324" s="72">
        <v>7300000</v>
      </c>
      <c r="I324" s="168" t="s">
        <v>460</v>
      </c>
      <c r="J324" s="168"/>
      <c r="K324" s="1"/>
    </row>
    <row r="325" spans="1:11" ht="24" customHeight="1" thickBot="1" x14ac:dyDescent="0.3">
      <c r="A325" s="1"/>
      <c r="B325" s="99" t="s">
        <v>487</v>
      </c>
      <c r="C325" s="188" t="s">
        <v>489</v>
      </c>
      <c r="D325" s="189" t="s">
        <v>488</v>
      </c>
      <c r="E325" s="173" t="s">
        <v>415</v>
      </c>
      <c r="F325" s="174"/>
      <c r="G325" s="74">
        <v>2018</v>
      </c>
      <c r="H325" s="72">
        <v>1200000</v>
      </c>
      <c r="I325" s="168" t="s">
        <v>460</v>
      </c>
      <c r="J325" s="168"/>
      <c r="K325" s="1"/>
    </row>
    <row r="326" spans="1:11" ht="24" customHeight="1" thickBot="1" x14ac:dyDescent="0.3">
      <c r="A326" s="1"/>
      <c r="B326" s="99" t="s">
        <v>491</v>
      </c>
      <c r="C326" s="188" t="s">
        <v>489</v>
      </c>
      <c r="D326" s="189" t="s">
        <v>488</v>
      </c>
      <c r="E326" s="173" t="s">
        <v>415</v>
      </c>
      <c r="F326" s="174"/>
      <c r="G326" s="71">
        <v>2016</v>
      </c>
      <c r="H326" s="72">
        <v>2700000</v>
      </c>
      <c r="I326" s="168" t="s">
        <v>460</v>
      </c>
      <c r="J326" s="168"/>
      <c r="K326" s="1"/>
    </row>
    <row r="327" spans="1:11" ht="24" customHeight="1" thickBot="1" x14ac:dyDescent="0.3">
      <c r="A327" s="1"/>
      <c r="B327" s="99" t="s">
        <v>486</v>
      </c>
      <c r="C327" s="188" t="s">
        <v>483</v>
      </c>
      <c r="D327" s="189" t="s">
        <v>483</v>
      </c>
      <c r="E327" s="173" t="s">
        <v>485</v>
      </c>
      <c r="F327" s="174"/>
      <c r="G327" s="74">
        <v>2015</v>
      </c>
      <c r="H327" s="72">
        <v>13700000</v>
      </c>
      <c r="I327" s="168" t="s">
        <v>460</v>
      </c>
      <c r="J327" s="168"/>
      <c r="K327" s="1"/>
    </row>
    <row r="328" spans="1:11" ht="24" customHeight="1" thickBot="1" x14ac:dyDescent="0.3">
      <c r="A328" s="1"/>
      <c r="B328" s="99" t="s">
        <v>482</v>
      </c>
      <c r="C328" s="188" t="s">
        <v>483</v>
      </c>
      <c r="D328" s="189" t="s">
        <v>483</v>
      </c>
      <c r="E328" s="173" t="s">
        <v>484</v>
      </c>
      <c r="F328" s="174"/>
      <c r="G328" s="74">
        <v>2015</v>
      </c>
      <c r="H328" s="72">
        <v>6200000</v>
      </c>
      <c r="I328" s="168" t="s">
        <v>460</v>
      </c>
      <c r="J328" s="168"/>
      <c r="K328" s="1"/>
    </row>
    <row r="329" spans="1:11" ht="24" customHeight="1" thickBot="1" x14ac:dyDescent="0.3">
      <c r="A329" s="1"/>
      <c r="B329" s="70"/>
      <c r="C329" s="172"/>
      <c r="D329" s="172"/>
      <c r="E329" s="173"/>
      <c r="F329" s="174"/>
      <c r="G329" s="74"/>
      <c r="H329" s="72"/>
      <c r="I329" s="168"/>
      <c r="J329" s="168"/>
      <c r="K329" s="1"/>
    </row>
    <row r="330" spans="1:11" ht="24" customHeight="1" thickBot="1" x14ac:dyDescent="0.3">
      <c r="A330" s="1"/>
      <c r="B330" s="70"/>
      <c r="C330" s="172"/>
      <c r="D330" s="172"/>
      <c r="E330" s="173"/>
      <c r="F330" s="174"/>
      <c r="G330" s="74"/>
      <c r="H330" s="72"/>
      <c r="I330" s="168"/>
      <c r="J330" s="168"/>
      <c r="K330" s="1"/>
    </row>
    <row r="331" spans="1:11" ht="24" customHeight="1" thickBot="1" x14ac:dyDescent="0.3">
      <c r="A331" s="1"/>
      <c r="B331" s="70"/>
      <c r="C331" s="172"/>
      <c r="D331" s="172"/>
      <c r="E331" s="173"/>
      <c r="F331" s="174"/>
      <c r="G331" s="74"/>
      <c r="H331" s="72"/>
      <c r="I331" s="168"/>
      <c r="J331" s="168"/>
      <c r="K331" s="1"/>
    </row>
    <row r="332" spans="1:11" ht="24" customHeight="1" thickBot="1" x14ac:dyDescent="0.3">
      <c r="A332" s="1"/>
      <c r="B332" s="70"/>
      <c r="C332" s="172"/>
      <c r="D332" s="172"/>
      <c r="E332" s="173"/>
      <c r="F332" s="174"/>
      <c r="G332" s="74"/>
      <c r="H332" s="72"/>
      <c r="I332" s="168"/>
      <c r="J332" s="168"/>
      <c r="K332" s="1"/>
    </row>
    <row r="333" spans="1:11" ht="24" customHeight="1" thickBot="1" x14ac:dyDescent="0.3">
      <c r="A333" s="1"/>
      <c r="B333" s="70"/>
      <c r="C333" s="172"/>
      <c r="D333" s="172"/>
      <c r="E333" s="173"/>
      <c r="F333" s="174"/>
      <c r="G333" s="74"/>
      <c r="H333" s="72"/>
      <c r="I333" s="168"/>
      <c r="J333" s="168"/>
      <c r="K333" s="1"/>
    </row>
    <row r="334" spans="1:11" ht="24" customHeight="1" thickBot="1" x14ac:dyDescent="0.3">
      <c r="A334" s="1"/>
      <c r="B334" s="70"/>
      <c r="C334" s="172"/>
      <c r="D334" s="172"/>
      <c r="E334" s="173"/>
      <c r="F334" s="174"/>
      <c r="G334" s="74"/>
      <c r="H334" s="72"/>
      <c r="I334" s="168"/>
      <c r="J334" s="168"/>
      <c r="K334" s="1"/>
    </row>
    <row r="335" spans="1:11" ht="24" customHeight="1" thickBot="1" x14ac:dyDescent="0.3">
      <c r="A335" s="1"/>
      <c r="B335" s="70"/>
      <c r="C335" s="186"/>
      <c r="D335" s="187"/>
      <c r="E335" s="180"/>
      <c r="F335" s="181"/>
      <c r="G335" s="74"/>
      <c r="H335" s="72"/>
      <c r="I335" s="185"/>
      <c r="J335" s="175"/>
      <c r="K335" s="1"/>
    </row>
    <row r="336" spans="1:11" ht="34.5" customHeight="1" thickBot="1" x14ac:dyDescent="0.3">
      <c r="A336" s="1"/>
      <c r="B336" s="70"/>
      <c r="C336" s="186"/>
      <c r="D336" s="187"/>
      <c r="E336" s="180"/>
      <c r="F336" s="181"/>
      <c r="G336" s="74"/>
      <c r="H336" s="72"/>
      <c r="I336" s="185"/>
      <c r="J336" s="175"/>
      <c r="K336" s="1"/>
    </row>
    <row r="337" spans="1:11" ht="12" customHeight="1" thickBot="1" x14ac:dyDescent="0.3">
      <c r="A337" s="1"/>
      <c r="B337" s="70"/>
      <c r="C337" s="186"/>
      <c r="D337" s="187"/>
      <c r="E337" s="85"/>
      <c r="F337" s="86"/>
      <c r="G337" s="74"/>
      <c r="H337" s="72"/>
      <c r="I337" s="87"/>
      <c r="J337" s="87"/>
      <c r="K337" s="1"/>
    </row>
    <row r="338" spans="1:11" ht="15.75" thickBot="1" x14ac:dyDescent="0.3">
      <c r="A338" s="1"/>
      <c r="B338" s="70"/>
      <c r="C338" s="172"/>
      <c r="D338" s="172"/>
      <c r="E338" s="173"/>
      <c r="F338" s="174"/>
      <c r="G338" s="74"/>
      <c r="H338" s="72"/>
      <c r="I338" s="168"/>
      <c r="J338" s="168"/>
      <c r="K338" s="1"/>
    </row>
    <row r="339" spans="1:11" ht="3.75" customHeight="1" thickBot="1" x14ac:dyDescent="0.3">
      <c r="A339" s="1"/>
      <c r="B339" s="70"/>
      <c r="C339" s="176"/>
      <c r="D339" s="176"/>
      <c r="E339" s="177"/>
      <c r="F339" s="178"/>
      <c r="G339" s="71"/>
      <c r="H339" s="72"/>
      <c r="I339" s="168"/>
      <c r="J339" s="168"/>
      <c r="K339" s="1"/>
    </row>
    <row r="340" spans="1:11" ht="29.25" customHeight="1" x14ac:dyDescent="0.25">
      <c r="A340" s="1"/>
      <c r="B340" s="79"/>
      <c r="C340" s="1"/>
      <c r="D340" s="1"/>
      <c r="E340" s="1"/>
      <c r="F340" s="1"/>
      <c r="G340" s="1"/>
      <c r="H340" s="1"/>
      <c r="I340" s="1"/>
      <c r="J340" s="1"/>
      <c r="K340" s="1"/>
    </row>
    <row r="341" spans="1:11" ht="24" customHeight="1" x14ac:dyDescent="0.25">
      <c r="A341" s="1"/>
      <c r="B341" s="65"/>
      <c r="C341" s="26"/>
      <c r="D341" s="26"/>
      <c r="E341" s="26"/>
      <c r="F341" s="26"/>
      <c r="G341" s="26"/>
      <c r="H341" s="26"/>
      <c r="I341" s="26"/>
      <c r="J341" s="26"/>
      <c r="K341" s="1"/>
    </row>
    <row r="342" spans="1:11" ht="24" customHeight="1" x14ac:dyDescent="0.25">
      <c r="A342" s="1"/>
      <c r="B342" s="163" t="s">
        <v>403</v>
      </c>
      <c r="C342" s="163"/>
      <c r="D342" s="163"/>
      <c r="E342" s="163"/>
      <c r="F342" s="163"/>
      <c r="G342" s="163"/>
      <c r="H342" s="163"/>
      <c r="I342" s="163"/>
      <c r="J342" s="163"/>
      <c r="K342" s="1"/>
    </row>
    <row r="343" spans="1:11" ht="24" customHeight="1" x14ac:dyDescent="0.25">
      <c r="A343" s="1"/>
      <c r="B343" s="66"/>
      <c r="C343" s="26"/>
      <c r="D343" s="26"/>
      <c r="E343" s="26"/>
      <c r="F343" s="26"/>
      <c r="G343" s="26"/>
      <c r="H343" s="26"/>
      <c r="I343" s="26"/>
      <c r="J343" s="26"/>
      <c r="K343" s="1"/>
    </row>
    <row r="344" spans="1:11" ht="24" customHeight="1" x14ac:dyDescent="0.2">
      <c r="A344" s="1"/>
      <c r="B344" s="67" t="s">
        <v>350</v>
      </c>
      <c r="C344" s="67" t="s">
        <v>351</v>
      </c>
      <c r="D344" s="68"/>
      <c r="E344" s="164" t="s">
        <v>352</v>
      </c>
      <c r="F344" s="164"/>
      <c r="G344" s="68" t="s">
        <v>353</v>
      </c>
      <c r="H344" s="69" t="s">
        <v>354</v>
      </c>
      <c r="I344" s="164" t="s">
        <v>355</v>
      </c>
      <c r="J344" s="164"/>
      <c r="K344" s="1"/>
    </row>
    <row r="345" spans="1:11" ht="24" customHeight="1" thickBot="1" x14ac:dyDescent="0.3">
      <c r="A345" s="1"/>
      <c r="B345" s="70"/>
      <c r="C345" s="165"/>
      <c r="D345" s="165"/>
      <c r="E345" s="166"/>
      <c r="F345" s="167"/>
      <c r="G345" s="71"/>
      <c r="H345" s="72"/>
      <c r="I345" s="168"/>
      <c r="J345" s="168"/>
      <c r="K345" s="1"/>
    </row>
    <row r="346" spans="1:11" ht="24" customHeight="1" thickBot="1" x14ac:dyDescent="0.3">
      <c r="A346" s="1"/>
      <c r="B346" s="70"/>
      <c r="C346" s="172"/>
      <c r="D346" s="172"/>
      <c r="E346" s="173"/>
      <c r="F346" s="174"/>
      <c r="G346" s="71"/>
      <c r="H346" s="72"/>
      <c r="I346" s="168"/>
      <c r="J346" s="168"/>
      <c r="K346" s="1"/>
    </row>
    <row r="347" spans="1:11" ht="24" customHeight="1" thickBot="1" x14ac:dyDescent="0.3">
      <c r="A347" s="1"/>
      <c r="B347" s="70"/>
      <c r="C347" s="172"/>
      <c r="D347" s="172"/>
      <c r="E347" s="173"/>
      <c r="F347" s="174"/>
      <c r="G347" s="71"/>
      <c r="H347" s="72"/>
      <c r="I347" s="168"/>
      <c r="J347" s="168"/>
      <c r="K347" s="1"/>
    </row>
    <row r="348" spans="1:11" ht="24" customHeight="1" thickBot="1" x14ac:dyDescent="0.3">
      <c r="A348" s="1"/>
      <c r="B348" s="70"/>
      <c r="C348" s="172"/>
      <c r="D348" s="172"/>
      <c r="E348" s="173"/>
      <c r="F348" s="174"/>
      <c r="G348" s="71"/>
      <c r="H348" s="72"/>
      <c r="I348" s="168"/>
      <c r="J348" s="168"/>
      <c r="K348" s="1"/>
    </row>
    <row r="349" spans="1:11" ht="24" customHeight="1" thickBot="1" x14ac:dyDescent="0.3">
      <c r="A349" s="1"/>
      <c r="B349" s="70"/>
      <c r="C349" s="172"/>
      <c r="D349" s="172"/>
      <c r="E349" s="173"/>
      <c r="F349" s="174"/>
      <c r="G349" s="71"/>
      <c r="H349" s="72"/>
      <c r="I349" s="168"/>
      <c r="J349" s="168"/>
      <c r="K349" s="1"/>
    </row>
    <row r="350" spans="1:11" ht="24" customHeight="1" thickBot="1" x14ac:dyDescent="0.3">
      <c r="A350" s="1"/>
      <c r="B350" s="70"/>
      <c r="C350" s="172"/>
      <c r="D350" s="172"/>
      <c r="E350" s="173"/>
      <c r="F350" s="174"/>
      <c r="G350" s="71"/>
      <c r="H350" s="72"/>
      <c r="I350" s="175"/>
      <c r="J350" s="175"/>
      <c r="K350" s="1"/>
    </row>
    <row r="351" spans="1:11" ht="24" customHeight="1" thickBot="1" x14ac:dyDescent="0.3">
      <c r="A351" s="1"/>
      <c r="B351" s="70"/>
      <c r="C351" s="172"/>
      <c r="D351" s="172"/>
      <c r="E351" s="173"/>
      <c r="F351" s="174"/>
      <c r="G351" s="71"/>
      <c r="H351" s="72"/>
      <c r="I351" s="175"/>
      <c r="J351" s="175"/>
      <c r="K351" s="1"/>
    </row>
    <row r="352" spans="1:11" ht="24" customHeight="1" thickBot="1" x14ac:dyDescent="0.3">
      <c r="A352" s="1"/>
      <c r="B352" s="70"/>
      <c r="C352" s="172"/>
      <c r="D352" s="172"/>
      <c r="E352" s="173"/>
      <c r="F352" s="174"/>
      <c r="G352" s="71"/>
      <c r="H352" s="72"/>
      <c r="I352" s="175"/>
      <c r="J352" s="175"/>
      <c r="K352" s="1"/>
    </row>
    <row r="353" spans="1:11" ht="34.5" customHeight="1" thickBot="1" x14ac:dyDescent="0.3">
      <c r="A353" s="1"/>
      <c r="B353" s="70"/>
      <c r="C353" s="172"/>
      <c r="D353" s="172"/>
      <c r="E353" s="173"/>
      <c r="F353" s="174"/>
      <c r="G353" s="71"/>
      <c r="H353" s="72"/>
      <c r="I353" s="175"/>
      <c r="J353" s="175"/>
      <c r="K353" s="1"/>
    </row>
    <row r="354" spans="1:11" ht="12" customHeight="1" thickBot="1" x14ac:dyDescent="0.3">
      <c r="A354" s="1"/>
      <c r="B354" s="70"/>
      <c r="C354" s="172"/>
      <c r="D354" s="172"/>
      <c r="E354" s="173"/>
      <c r="F354" s="174"/>
      <c r="G354" s="71"/>
      <c r="H354" s="72"/>
      <c r="I354" s="175"/>
      <c r="J354" s="175"/>
      <c r="K354" s="1"/>
    </row>
    <row r="355" spans="1:11" ht="15.75" thickBot="1" x14ac:dyDescent="0.3">
      <c r="A355" s="1"/>
      <c r="B355" s="70"/>
      <c r="C355" s="172"/>
      <c r="D355" s="172"/>
      <c r="E355" s="173"/>
      <c r="F355" s="174"/>
      <c r="G355" s="71"/>
      <c r="H355" s="72"/>
      <c r="I355" s="175"/>
      <c r="J355" s="175"/>
      <c r="K355" s="1"/>
    </row>
    <row r="356" spans="1:11" ht="3.75" customHeight="1" thickBot="1" x14ac:dyDescent="0.3">
      <c r="A356" s="1"/>
      <c r="B356" s="70"/>
      <c r="C356" s="176"/>
      <c r="D356" s="176"/>
      <c r="E356" s="177"/>
      <c r="F356" s="178"/>
      <c r="G356" s="71"/>
      <c r="H356" s="72"/>
      <c r="I356" s="179"/>
      <c r="J356" s="179"/>
      <c r="K356" s="1"/>
    </row>
    <row r="357" spans="1:11" ht="29.25" customHeight="1" x14ac:dyDescent="0.25">
      <c r="A357" s="1"/>
      <c r="B357" s="79"/>
      <c r="C357" s="1"/>
      <c r="D357" s="1"/>
      <c r="E357" s="1"/>
      <c r="F357" s="1"/>
      <c r="G357" s="1"/>
      <c r="H357" s="1"/>
      <c r="I357" s="1"/>
      <c r="J357" s="1"/>
      <c r="K357" s="1"/>
    </row>
    <row r="358" spans="1:11" ht="24" customHeight="1" x14ac:dyDescent="0.25">
      <c r="A358" s="1"/>
      <c r="B358" s="65"/>
      <c r="C358" s="26"/>
      <c r="D358" s="26"/>
      <c r="E358" s="26"/>
      <c r="F358" s="26"/>
      <c r="G358" s="26"/>
      <c r="H358" s="26"/>
      <c r="I358" s="26"/>
      <c r="J358" s="26"/>
      <c r="K358" s="1"/>
    </row>
    <row r="359" spans="1:11" ht="24" customHeight="1" x14ac:dyDescent="0.25">
      <c r="A359" s="1"/>
      <c r="B359" s="163" t="s">
        <v>404</v>
      </c>
      <c r="C359" s="163"/>
      <c r="D359" s="163"/>
      <c r="E359" s="163"/>
      <c r="F359" s="163"/>
      <c r="G359" s="163"/>
      <c r="H359" s="163"/>
      <c r="I359" s="163"/>
      <c r="J359" s="163"/>
      <c r="K359" s="1"/>
    </row>
    <row r="360" spans="1:11" ht="24" customHeight="1" x14ac:dyDescent="0.25">
      <c r="A360" s="1"/>
      <c r="B360" s="66"/>
      <c r="C360" s="26"/>
      <c r="D360" s="26"/>
      <c r="E360" s="26"/>
      <c r="F360" s="26"/>
      <c r="G360" s="26"/>
      <c r="H360" s="26"/>
      <c r="I360" s="26"/>
      <c r="J360" s="26"/>
      <c r="K360" s="1"/>
    </row>
    <row r="361" spans="1:11" ht="24" customHeight="1" thickBot="1" x14ac:dyDescent="0.25">
      <c r="A361" s="1"/>
      <c r="B361" s="67" t="s">
        <v>350</v>
      </c>
      <c r="C361" s="67" t="s">
        <v>351</v>
      </c>
      <c r="D361" s="68"/>
      <c r="E361" s="164" t="s">
        <v>352</v>
      </c>
      <c r="F361" s="164"/>
      <c r="G361" s="68" t="s">
        <v>353</v>
      </c>
      <c r="H361" s="69" t="s">
        <v>354</v>
      </c>
      <c r="I361" s="164" t="s">
        <v>355</v>
      </c>
      <c r="J361" s="164"/>
      <c r="K361" s="1"/>
    </row>
    <row r="362" spans="1:11" ht="24" customHeight="1" thickBot="1" x14ac:dyDescent="0.3">
      <c r="A362" s="1"/>
      <c r="B362" s="99" t="s">
        <v>476</v>
      </c>
      <c r="C362" s="188" t="s">
        <v>477</v>
      </c>
      <c r="D362" s="189"/>
      <c r="E362" s="166" t="s">
        <v>478</v>
      </c>
      <c r="F362" s="167"/>
      <c r="G362" s="71">
        <v>2020</v>
      </c>
      <c r="H362" s="100">
        <v>14500000</v>
      </c>
      <c r="I362" s="168" t="s">
        <v>460</v>
      </c>
      <c r="J362" s="168"/>
      <c r="K362" s="1"/>
    </row>
    <row r="363" spans="1:11" ht="24" customHeight="1" thickBot="1" x14ac:dyDescent="0.3">
      <c r="A363" s="1"/>
      <c r="B363" s="70"/>
      <c r="C363" s="172"/>
      <c r="D363" s="172"/>
      <c r="E363" s="173"/>
      <c r="F363" s="174"/>
      <c r="G363" s="71"/>
      <c r="H363" s="72"/>
      <c r="I363" s="175"/>
      <c r="J363" s="175"/>
      <c r="K363" s="1"/>
    </row>
    <row r="364" spans="1:11" ht="24" customHeight="1" thickBot="1" x14ac:dyDescent="0.3">
      <c r="A364" s="1"/>
      <c r="B364" s="70"/>
      <c r="C364" s="172"/>
      <c r="D364" s="172"/>
      <c r="E364" s="173"/>
      <c r="F364" s="174"/>
      <c r="G364" s="71"/>
      <c r="H364" s="72"/>
      <c r="I364" s="175"/>
      <c r="J364" s="175"/>
      <c r="K364" s="1"/>
    </row>
    <row r="365" spans="1:11" ht="24" customHeight="1" thickBot="1" x14ac:dyDescent="0.3">
      <c r="A365" s="1"/>
      <c r="B365" s="70"/>
      <c r="C365" s="172"/>
      <c r="D365" s="172"/>
      <c r="E365" s="173"/>
      <c r="F365" s="174"/>
      <c r="G365" s="71"/>
      <c r="H365" s="72"/>
      <c r="I365" s="175"/>
      <c r="J365" s="175"/>
      <c r="K365" s="1"/>
    </row>
    <row r="366" spans="1:11" ht="24" customHeight="1" thickBot="1" x14ac:dyDescent="0.3">
      <c r="A366" s="1"/>
      <c r="B366" s="70"/>
      <c r="C366" s="172"/>
      <c r="D366" s="172"/>
      <c r="E366" s="173"/>
      <c r="F366" s="174"/>
      <c r="G366" s="71"/>
      <c r="H366" s="72"/>
      <c r="I366" s="175"/>
      <c r="J366" s="175"/>
      <c r="K366" s="1"/>
    </row>
    <row r="367" spans="1:11" ht="24" customHeight="1" thickBot="1" x14ac:dyDescent="0.3">
      <c r="A367" s="1"/>
      <c r="B367" s="70"/>
      <c r="C367" s="172"/>
      <c r="D367" s="172"/>
      <c r="E367" s="173"/>
      <c r="F367" s="174"/>
      <c r="G367" s="71"/>
      <c r="H367" s="72"/>
      <c r="I367" s="175"/>
      <c r="J367" s="175"/>
      <c r="K367" s="1"/>
    </row>
    <row r="368" spans="1:11" ht="24" customHeight="1" thickBot="1" x14ac:dyDescent="0.3">
      <c r="A368" s="1"/>
      <c r="B368" s="70"/>
      <c r="C368" s="172"/>
      <c r="D368" s="172"/>
      <c r="E368" s="173"/>
      <c r="F368" s="174"/>
      <c r="G368" s="71"/>
      <c r="H368" s="72"/>
      <c r="I368" s="175"/>
      <c r="J368" s="175"/>
      <c r="K368" s="1"/>
    </row>
    <row r="369" spans="1:11" ht="24" customHeight="1" thickBot="1" x14ac:dyDescent="0.3">
      <c r="A369" s="1"/>
      <c r="B369" s="70"/>
      <c r="C369" s="172"/>
      <c r="D369" s="172"/>
      <c r="E369" s="173"/>
      <c r="F369" s="174"/>
      <c r="G369" s="71"/>
      <c r="H369" s="72"/>
      <c r="I369" s="175"/>
      <c r="J369" s="175"/>
      <c r="K369" s="1"/>
    </row>
    <row r="370" spans="1:11" ht="4.5" customHeight="1" thickBot="1" x14ac:dyDescent="0.3">
      <c r="A370" s="1"/>
      <c r="B370" s="70"/>
      <c r="C370" s="172"/>
      <c r="D370" s="172"/>
      <c r="E370" s="173"/>
      <c r="F370" s="174"/>
      <c r="G370" s="71"/>
      <c r="H370" s="72"/>
      <c r="I370" s="175"/>
      <c r="J370" s="175"/>
      <c r="K370" s="1"/>
    </row>
    <row r="371" spans="1:11" ht="6.75" customHeight="1" thickBot="1" x14ac:dyDescent="0.3">
      <c r="A371" s="1"/>
      <c r="B371" s="70"/>
      <c r="C371" s="172"/>
      <c r="D371" s="172"/>
      <c r="E371" s="173"/>
      <c r="F371" s="174"/>
      <c r="G371" s="71"/>
      <c r="H371" s="72"/>
      <c r="I371" s="175"/>
      <c r="J371" s="175"/>
      <c r="K371" s="1"/>
    </row>
    <row r="372" spans="1:11" ht="55.5" customHeight="1" thickBot="1" x14ac:dyDescent="0.3">
      <c r="A372" s="1"/>
      <c r="B372" s="70"/>
      <c r="C372" s="172"/>
      <c r="D372" s="172"/>
      <c r="E372" s="173"/>
      <c r="F372" s="174"/>
      <c r="G372" s="71"/>
      <c r="H372" s="72"/>
      <c r="I372" s="175"/>
      <c r="J372" s="175"/>
      <c r="K372" s="1"/>
    </row>
    <row r="373" spans="1:11" ht="36" customHeight="1" thickBot="1" x14ac:dyDescent="0.3">
      <c r="A373" s="1"/>
      <c r="B373" s="70"/>
      <c r="C373" s="176"/>
      <c r="D373" s="176"/>
      <c r="E373" s="177"/>
      <c r="F373" s="178"/>
      <c r="G373" s="71"/>
      <c r="H373" s="72"/>
      <c r="I373" s="179"/>
      <c r="J373" s="179"/>
      <c r="K373" s="1"/>
    </row>
    <row r="374" spans="1:11" ht="39" customHeight="1" x14ac:dyDescent="0.25">
      <c r="A374" s="1"/>
      <c r="B374" s="79"/>
      <c r="C374" s="1"/>
      <c r="D374" s="1"/>
      <c r="E374" s="1"/>
      <c r="F374" s="1"/>
      <c r="G374" s="1"/>
      <c r="H374" s="1"/>
      <c r="I374" s="1"/>
      <c r="J374" s="1"/>
      <c r="K374" s="1"/>
    </row>
    <row r="375" spans="1:11" x14ac:dyDescent="0.25">
      <c r="A375" s="1"/>
      <c r="B375" s="79"/>
      <c r="C375" s="1"/>
      <c r="D375" s="1"/>
      <c r="E375" s="1"/>
      <c r="F375" s="1"/>
      <c r="G375" s="1"/>
      <c r="H375" s="1"/>
      <c r="I375" s="1"/>
      <c r="J375" s="1"/>
      <c r="K375" s="1"/>
    </row>
    <row r="376" spans="1:11" ht="27.75" customHeight="1" x14ac:dyDescent="0.25">
      <c r="A376" s="1"/>
      <c r="B376" s="197" t="s">
        <v>405</v>
      </c>
      <c r="C376" s="198"/>
      <c r="D376" s="198"/>
      <c r="E376" s="198"/>
      <c r="F376" s="198"/>
      <c r="G376" s="198"/>
      <c r="H376" s="198"/>
      <c r="I376" s="198"/>
      <c r="J376" s="199"/>
      <c r="K376" s="1"/>
    </row>
    <row r="377" spans="1:11" ht="15.75" x14ac:dyDescent="0.25">
      <c r="A377" s="1"/>
      <c r="B377" s="200" t="s">
        <v>406</v>
      </c>
      <c r="C377" s="201"/>
      <c r="D377" s="201"/>
      <c r="E377" s="201"/>
      <c r="F377" s="201"/>
      <c r="G377" s="201"/>
      <c r="H377" s="201"/>
      <c r="I377" s="201"/>
      <c r="J377" s="202"/>
      <c r="K377" s="1"/>
    </row>
    <row r="378" spans="1:11" ht="27" customHeight="1" x14ac:dyDescent="0.25">
      <c r="A378" s="1"/>
      <c r="B378" s="203" t="s">
        <v>407</v>
      </c>
      <c r="C378" s="204"/>
      <c r="D378" s="204"/>
      <c r="E378" s="204"/>
      <c r="F378" s="204"/>
      <c r="G378" s="204"/>
      <c r="H378" s="204"/>
      <c r="I378" s="204"/>
      <c r="J378" s="205"/>
      <c r="K378" s="1"/>
    </row>
    <row r="379" spans="1:11" x14ac:dyDescent="0.25">
      <c r="A379" s="1"/>
      <c r="B379" s="79"/>
      <c r="C379" s="1"/>
      <c r="D379" s="1"/>
      <c r="E379" s="1"/>
      <c r="F379" s="1"/>
      <c r="G379" s="1"/>
      <c r="H379" s="1"/>
      <c r="I379" s="1"/>
      <c r="J379" s="1"/>
      <c r="K379" s="1"/>
    </row>
  </sheetData>
  <sheetProtection selectLockedCells="1"/>
  <mergeCells count="592">
    <mergeCell ref="C216:D216"/>
    <mergeCell ref="E216:F216"/>
    <mergeCell ref="I216:J216"/>
    <mergeCell ref="C213:D213"/>
    <mergeCell ref="E213:F213"/>
    <mergeCell ref="I213:J213"/>
    <mergeCell ref="C214:D214"/>
    <mergeCell ref="E214:F214"/>
    <mergeCell ref="I214:J214"/>
    <mergeCell ref="C215:D215"/>
    <mergeCell ref="E215:F215"/>
    <mergeCell ref="I215:J215"/>
    <mergeCell ref="I209:J209"/>
    <mergeCell ref="C210:D210"/>
    <mergeCell ref="E210:F210"/>
    <mergeCell ref="I210:J210"/>
    <mergeCell ref="C211:D211"/>
    <mergeCell ref="E211:F211"/>
    <mergeCell ref="I211:J211"/>
    <mergeCell ref="C212:D212"/>
    <mergeCell ref="E212:F212"/>
    <mergeCell ref="I212:J212"/>
    <mergeCell ref="B376:J376"/>
    <mergeCell ref="B377:J377"/>
    <mergeCell ref="B378:J378"/>
    <mergeCell ref="C372:D372"/>
    <mergeCell ref="E372:F372"/>
    <mergeCell ref="I372:J372"/>
    <mergeCell ref="C373:D373"/>
    <mergeCell ref="E373:F373"/>
    <mergeCell ref="I373:J373"/>
    <mergeCell ref="C370:D370"/>
    <mergeCell ref="E370:F370"/>
    <mergeCell ref="I370:J370"/>
    <mergeCell ref="C371:D371"/>
    <mergeCell ref="E371:F371"/>
    <mergeCell ref="I371:J371"/>
    <mergeCell ref="C368:D368"/>
    <mergeCell ref="E368:F368"/>
    <mergeCell ref="I368:J368"/>
    <mergeCell ref="C369:D369"/>
    <mergeCell ref="E369:F369"/>
    <mergeCell ref="I369:J369"/>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13:D313"/>
    <mergeCell ref="E313:F313"/>
    <mergeCell ref="I313:J313"/>
    <mergeCell ref="C314:D314"/>
    <mergeCell ref="E314:F314"/>
    <mergeCell ref="I314:J314"/>
    <mergeCell ref="C311:D311"/>
    <mergeCell ref="I311:J311"/>
    <mergeCell ref="C312:D312"/>
    <mergeCell ref="I312:J312"/>
    <mergeCell ref="C309:D309"/>
    <mergeCell ref="E309:F309"/>
    <mergeCell ref="I309:J309"/>
    <mergeCell ref="C310:D310"/>
    <mergeCell ref="I310:J310"/>
    <mergeCell ref="C307:D307"/>
    <mergeCell ref="E307:F307"/>
    <mergeCell ref="I307:J307"/>
    <mergeCell ref="C308:D308"/>
    <mergeCell ref="E308:F308"/>
    <mergeCell ref="I308:J308"/>
    <mergeCell ref="C301:D301"/>
    <mergeCell ref="E301:F301"/>
    <mergeCell ref="I301:J301"/>
    <mergeCell ref="B304:J304"/>
    <mergeCell ref="E306:F306"/>
    <mergeCell ref="I306:J306"/>
    <mergeCell ref="C299:D299"/>
    <mergeCell ref="E299:F299"/>
    <mergeCell ref="I299:J299"/>
    <mergeCell ref="C300:D300"/>
    <mergeCell ref="E300:F300"/>
    <mergeCell ref="I300:J300"/>
    <mergeCell ref="C297:D297"/>
    <mergeCell ref="E297:F297"/>
    <mergeCell ref="I297:J297"/>
    <mergeCell ref="C298:D298"/>
    <mergeCell ref="E298:F298"/>
    <mergeCell ref="I298:J298"/>
    <mergeCell ref="C295:D295"/>
    <mergeCell ref="E295:F295"/>
    <mergeCell ref="I295:J295"/>
    <mergeCell ref="C296:D296"/>
    <mergeCell ref="E296:F296"/>
    <mergeCell ref="I296:J296"/>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199:D199"/>
    <mergeCell ref="E199:F199"/>
    <mergeCell ref="I199:J199"/>
    <mergeCell ref="C200:D200"/>
    <mergeCell ref="E200:F200"/>
    <mergeCell ref="I200:J200"/>
    <mergeCell ref="C197:D197"/>
    <mergeCell ref="E197:F197"/>
    <mergeCell ref="I197:J197"/>
    <mergeCell ref="C198:D198"/>
    <mergeCell ref="E198:F198"/>
    <mergeCell ref="I198:J198"/>
    <mergeCell ref="C195:D195"/>
    <mergeCell ref="E195:F195"/>
    <mergeCell ref="I195:J195"/>
    <mergeCell ref="C196:D196"/>
    <mergeCell ref="E196:F196"/>
    <mergeCell ref="I196:J196"/>
    <mergeCell ref="C193:D193"/>
    <mergeCell ref="E193:F193"/>
    <mergeCell ref="I193:J193"/>
    <mergeCell ref="C194:D194"/>
    <mergeCell ref="E194:F194"/>
    <mergeCell ref="I194:J194"/>
    <mergeCell ref="C191:D191"/>
    <mergeCell ref="E191:F191"/>
    <mergeCell ref="I191:J191"/>
    <mergeCell ref="C192:D192"/>
    <mergeCell ref="E192:F192"/>
    <mergeCell ref="I192:J192"/>
    <mergeCell ref="C189:D189"/>
    <mergeCell ref="E189:F189"/>
    <mergeCell ref="I189:J189"/>
    <mergeCell ref="C190:D190"/>
    <mergeCell ref="E190:F190"/>
    <mergeCell ref="I190:J190"/>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B95:G95"/>
    <mergeCell ref="C97:J97"/>
    <mergeCell ref="C98:J98"/>
    <mergeCell ref="C99:J99"/>
    <mergeCell ref="B101:I101"/>
    <mergeCell ref="I103:J103"/>
    <mergeCell ref="B76:B77"/>
    <mergeCell ref="D76:F76"/>
    <mergeCell ref="B79:J79"/>
    <mergeCell ref="B81:I81"/>
    <mergeCell ref="B83:J83"/>
    <mergeCell ref="B89:J89"/>
    <mergeCell ref="B65:I65"/>
    <mergeCell ref="B67:B68"/>
    <mergeCell ref="D67:F67"/>
    <mergeCell ref="B70:B71"/>
    <mergeCell ref="D70:F70"/>
    <mergeCell ref="B73:B74"/>
    <mergeCell ref="D73:F73"/>
    <mergeCell ref="C60:F60"/>
    <mergeCell ref="H60:J60"/>
    <mergeCell ref="C61:F61"/>
    <mergeCell ref="H61:J61"/>
    <mergeCell ref="C62:F62"/>
    <mergeCell ref="H62:J62"/>
    <mergeCell ref="E54:F54"/>
    <mergeCell ref="E55:F55"/>
    <mergeCell ref="B57:H57"/>
    <mergeCell ref="C58:F58"/>
    <mergeCell ref="H58:J58"/>
    <mergeCell ref="C59:F59"/>
    <mergeCell ref="H59:J59"/>
    <mergeCell ref="B48:J48"/>
    <mergeCell ref="B49:C49"/>
    <mergeCell ref="F49:G49"/>
    <mergeCell ref="B51:J51"/>
    <mergeCell ref="E52:F52"/>
    <mergeCell ref="E53:F53"/>
    <mergeCell ref="B44:J44"/>
    <mergeCell ref="B45:C45"/>
    <mergeCell ref="D45:G45"/>
    <mergeCell ref="H45:J45"/>
    <mergeCell ref="B46:C46"/>
    <mergeCell ref="D46:G46"/>
    <mergeCell ref="H46:J46"/>
    <mergeCell ref="B42:C42"/>
    <mergeCell ref="D42:G42"/>
    <mergeCell ref="H42:J42"/>
    <mergeCell ref="B43:C43"/>
    <mergeCell ref="D43:G43"/>
    <mergeCell ref="H43:J43"/>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29:G29"/>
    <mergeCell ref="B30:B31"/>
    <mergeCell ref="D30:F30"/>
    <mergeCell ref="H30:J30"/>
    <mergeCell ref="D31:F31"/>
    <mergeCell ref="H31:J31"/>
    <mergeCell ref="C20:H20"/>
    <mergeCell ref="C21:H21"/>
    <mergeCell ref="C23:H23"/>
    <mergeCell ref="C24:H24"/>
    <mergeCell ref="C26:J26"/>
    <mergeCell ref="C27:F27"/>
    <mergeCell ref="C11:H11"/>
    <mergeCell ref="C12:H12"/>
    <mergeCell ref="C14:H14"/>
    <mergeCell ref="C15:H15"/>
    <mergeCell ref="C17:H17"/>
    <mergeCell ref="C18:H18"/>
    <mergeCell ref="B2:J2"/>
    <mergeCell ref="B4:I4"/>
    <mergeCell ref="C6:J6"/>
    <mergeCell ref="C8:D8"/>
    <mergeCell ref="I8:J8"/>
    <mergeCell ref="C10:H10"/>
  </mergeCells>
  <dataValidations disablePrompts="1" count="7">
    <dataValidation type="list" allowBlank="1" showInputMessage="1" showErrorMessage="1" sqref="U9">
      <formula1>INDIRECT($B$42)</formula1>
    </dataValidation>
    <dataValidation type="list" allowBlank="1" showInputMessage="1" showErrorMessage="1" sqref="H41:J41">
      <formula1>INDIRECT($D$41)</formula1>
    </dataValidation>
    <dataValidation type="list" allowBlank="1" showInputMessage="1" showErrorMessage="1" sqref="H43:J43">
      <formula1>INDIRECT($D$43)</formula1>
    </dataValidation>
    <dataValidation type="list" allowBlank="1" showInputMessage="1" showErrorMessage="1" sqref="H42:J42">
      <formula1>INDIRECT($D$42)</formula1>
    </dataValidation>
    <dataValidation type="list" allowBlank="1" showInputMessage="1" showErrorMessage="1" sqref="I45:J46">
      <formula1>INDIRECT(#REF!)</formula1>
    </dataValidation>
    <dataValidation type="list" allowBlank="1" showInputMessage="1" showErrorMessage="1" sqref="B45:C46 B41:C43">
      <formula1>$X$3:$X$5</formula1>
    </dataValidation>
    <dataValidation type="list" allowBlank="1" showInputMessage="1" showErrorMessage="1" sqref="D45:G46 D41:G43">
      <formula1>INDIRECT($B41)</formula1>
    </dataValidation>
  </dataValidations>
  <hyperlinks>
    <hyperlink ref="B100" location="'Datos precalificación'!B396" display="Presionar aquí para continuar"/>
  </hyperlinks>
  <pageMargins left="0.69" right="0.33" top="0.37" bottom="0.37" header="0.31496062992125984" footer="0.31496062992125984"/>
  <pageSetup paperSize="9" scale="66" fitToHeight="0" orientation="portrait" r:id="rId1"/>
  <rowBreaks count="2" manualBreakCount="2">
    <brk id="181" max="16383" man="1"/>
    <brk id="302"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Victoria Loro</cp:lastModifiedBy>
  <dcterms:created xsi:type="dcterms:W3CDTF">2014-07-14T13:58:18Z</dcterms:created>
  <dcterms:modified xsi:type="dcterms:W3CDTF">2020-11-18T16:16:01Z</dcterms:modified>
</cp:coreProperties>
</file>